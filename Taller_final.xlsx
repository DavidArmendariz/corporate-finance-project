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https://eafit-my.sharepoint.com/personal/darmendar_eafit_edu_co/Documents/MAF/Finanzas Corporativas/Taller final/"/>
    </mc:Choice>
  </mc:AlternateContent>
  <xr:revisionPtr revIDLastSave="1150" documentId="13_ncr:1_{9A198AE5-DFB1-4B20-96FE-55380C251E31}" xr6:coauthVersionLast="47" xr6:coauthVersionMax="47" xr10:uidLastSave="{F73224F5-1B02-724B-AB50-1CDC309573CC}"/>
  <bookViews>
    <workbookView xWindow="0" yWindow="660" windowWidth="34560" windowHeight="21680" activeTab="12" xr2:uid="{4A5FEAB5-AF17-D144-BB0B-4790A386B114}"/>
  </bookViews>
  <sheets>
    <sheet name="Datos" sheetId="2" r:id="rId1"/>
    <sheet name="Nómina" sheetId="1" r:id="rId2"/>
    <sheet name="Costos hundidos" sheetId="9" r:id="rId3"/>
    <sheet name="Tasas de banco" sheetId="14" state="hidden" r:id="rId4"/>
    <sheet name="Costo de oportunidad" sheetId="12" r:id="rId5"/>
    <sheet name="Inflación" sheetId="16" r:id="rId6"/>
    <sheet name="Bogotá" sheetId="25" r:id="rId7"/>
    <sheet name="BBVA" sheetId="26" r:id="rId8"/>
    <sheet name="Bonos" sheetId="27" r:id="rId9"/>
    <sheet name="WACC" sheetId="13" r:id="rId10"/>
    <sheet name="Depreciaciones" sheetId="8" r:id="rId11"/>
    <sheet name="Amortización gasto seguro" sheetId="10" r:id="rId12"/>
    <sheet name="Estado de resultados" sheetId="20" r:id="rId13"/>
    <sheet name="Breakeven Precio" sheetId="23" r:id="rId14"/>
  </sheets>
  <definedNames>
    <definedName name="solver_adj" localSheetId="9" hidden="1">WACC!#REF!</definedName>
    <definedName name="solver_cvg" localSheetId="9" hidden="1">0.0001</definedName>
    <definedName name="solver_drv" localSheetId="9" hidden="1">1</definedName>
    <definedName name="solver_eng" localSheetId="9" hidden="1">1</definedName>
    <definedName name="solver_itr" localSheetId="9" hidden="1">2147483647</definedName>
    <definedName name="solver_lhs1" localSheetId="9" hidden="1">WACC!#REF!</definedName>
    <definedName name="solver_lin" localSheetId="9" hidden="1">2</definedName>
    <definedName name="solver_mip" localSheetId="9" hidden="1">2147483647</definedName>
    <definedName name="solver_mni" localSheetId="9" hidden="1">30</definedName>
    <definedName name="solver_mrt" localSheetId="9" hidden="1">0.075</definedName>
    <definedName name="solver_msl" localSheetId="9" hidden="1">2</definedName>
    <definedName name="solver_neg" localSheetId="9" hidden="1">1</definedName>
    <definedName name="solver_nod" localSheetId="9" hidden="1">2147483647</definedName>
    <definedName name="solver_num" localSheetId="9" hidden="1">1</definedName>
    <definedName name="solver_opt" localSheetId="9" hidden="1">WACC!#REF!</definedName>
    <definedName name="solver_pre" localSheetId="9" hidden="1">0.000001</definedName>
    <definedName name="solver_rbv" localSheetId="9" hidden="1">1</definedName>
    <definedName name="solver_rel1" localSheetId="9" hidden="1">2</definedName>
    <definedName name="solver_rhs1" localSheetId="9" hidden="1">1</definedName>
    <definedName name="solver_rlx" localSheetId="9" hidden="1">1</definedName>
    <definedName name="solver_rsd" localSheetId="9" hidden="1">0</definedName>
    <definedName name="solver_scl" localSheetId="9" hidden="1">2</definedName>
    <definedName name="solver_sho" localSheetId="9" hidden="1">2</definedName>
    <definedName name="solver_ssz" localSheetId="9" hidden="1">100</definedName>
    <definedName name="solver_tim" localSheetId="9" hidden="1">2147483647</definedName>
    <definedName name="solver_tol" localSheetId="9" hidden="1">0.01</definedName>
    <definedName name="solver_typ" localSheetId="9" hidden="1">2</definedName>
    <definedName name="solver_val" localSheetId="9" hidden="1">0</definedName>
    <definedName name="solver_ver" localSheetId="9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" i="2" l="1"/>
  <c r="C17" i="12"/>
  <c r="D17" i="12"/>
  <c r="E17" i="12"/>
  <c r="F17" i="12"/>
  <c r="G17" i="12"/>
  <c r="H17" i="12"/>
  <c r="I17" i="12"/>
  <c r="J17" i="12"/>
  <c r="K17" i="12"/>
  <c r="B17" i="12"/>
  <c r="C16" i="12"/>
  <c r="B16" i="12"/>
  <c r="C15" i="12"/>
  <c r="D15" i="12"/>
  <c r="E15" i="12"/>
  <c r="F15" i="12"/>
  <c r="G15" i="12"/>
  <c r="H15" i="12"/>
  <c r="I15" i="12"/>
  <c r="J15" i="12"/>
  <c r="K15" i="12"/>
  <c r="C14" i="12"/>
  <c r="D14" i="12"/>
  <c r="E14" i="12"/>
  <c r="F14" i="12"/>
  <c r="G14" i="12"/>
  <c r="H14" i="12"/>
  <c r="I14" i="12"/>
  <c r="J14" i="12"/>
  <c r="K14" i="12"/>
  <c r="B15" i="12"/>
  <c r="C95" i="20"/>
  <c r="C99" i="20" s="1"/>
  <c r="C100" i="20" s="1"/>
  <c r="M99" i="20"/>
  <c r="L99" i="20"/>
  <c r="K99" i="20"/>
  <c r="J99" i="20"/>
  <c r="I99" i="20"/>
  <c r="H99" i="20"/>
  <c r="G99" i="20"/>
  <c r="F99" i="20"/>
  <c r="E99" i="20"/>
  <c r="D99" i="20"/>
  <c r="N10" i="20"/>
  <c r="O10" i="20" s="1"/>
  <c r="N13" i="20"/>
  <c r="N12" i="20"/>
  <c r="O12" i="20" s="1"/>
  <c r="O11" i="20"/>
  <c r="P11" i="20" s="1"/>
  <c r="D12" i="16"/>
  <c r="Q13" i="20"/>
  <c r="R13" i="20" s="1"/>
  <c r="O13" i="20"/>
  <c r="A7" i="20"/>
  <c r="H27" i="27"/>
  <c r="H28" i="27"/>
  <c r="H29" i="27"/>
  <c r="H30" i="27"/>
  <c r="H31" i="27"/>
  <c r="H32" i="27"/>
  <c r="H33" i="27"/>
  <c r="H34" i="27"/>
  <c r="H35" i="27"/>
  <c r="D16" i="27"/>
  <c r="D14" i="25"/>
  <c r="D17" i="27"/>
  <c r="K12" i="27"/>
  <c r="J12" i="27"/>
  <c r="I12" i="27"/>
  <c r="H12" i="27"/>
  <c r="D4" i="27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D17" i="26"/>
  <c r="O12" i="26"/>
  <c r="N12" i="26"/>
  <c r="M12" i="26"/>
  <c r="L12" i="26"/>
  <c r="K12" i="26"/>
  <c r="J12" i="26"/>
  <c r="I12" i="26"/>
  <c r="H12" i="26"/>
  <c r="D5" i="26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AG5" i="26" s="1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U5" i="25"/>
  <c r="AS5" i="25"/>
  <c r="AT5" i="25"/>
  <c r="AQ5" i="25"/>
  <c r="AR5" i="25"/>
  <c r="T5" i="25"/>
  <c r="U5" i="25"/>
  <c r="V5" i="25"/>
  <c r="W5" i="25"/>
  <c r="X5" i="25"/>
  <c r="Y5" i="25"/>
  <c r="Z5" i="25"/>
  <c r="AA5" i="25"/>
  <c r="AB5" i="25"/>
  <c r="AC5" i="25"/>
  <c r="AD5" i="25"/>
  <c r="AE5" i="25"/>
  <c r="AF5" i="25"/>
  <c r="AG5" i="25"/>
  <c r="AH5" i="25"/>
  <c r="AI5" i="25"/>
  <c r="AJ5" i="25"/>
  <c r="AK5" i="25"/>
  <c r="AL5" i="25"/>
  <c r="AM5" i="25"/>
  <c r="AN5" i="25"/>
  <c r="AO5" i="25"/>
  <c r="AP5" i="25"/>
  <c r="D15" i="25"/>
  <c r="D16" i="25" s="1"/>
  <c r="D17" i="25" s="1"/>
  <c r="K10" i="25"/>
  <c r="J10" i="25"/>
  <c r="I10" i="25"/>
  <c r="H10" i="25"/>
  <c r="S5" i="25"/>
  <c r="R5" i="25"/>
  <c r="Q5" i="25"/>
  <c r="P5" i="25"/>
  <c r="O5" i="25"/>
  <c r="N5" i="25"/>
  <c r="M5" i="25"/>
  <c r="L5" i="25"/>
  <c r="K5" i="25"/>
  <c r="J5" i="25"/>
  <c r="I5" i="25"/>
  <c r="H5" i="25"/>
  <c r="D3" i="25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D9" i="20"/>
  <c r="A9" i="20" s="1"/>
  <c r="M23" i="20"/>
  <c r="L23" i="20"/>
  <c r="K23" i="20"/>
  <c r="J23" i="20"/>
  <c r="I23" i="20"/>
  <c r="H23" i="20"/>
  <c r="G23" i="20"/>
  <c r="F23" i="20"/>
  <c r="E23" i="20"/>
  <c r="D23" i="20"/>
  <c r="U4" i="27" l="1"/>
  <c r="T7" i="27"/>
  <c r="T8" i="27" s="1"/>
  <c r="D18" i="25"/>
  <c r="AT6" i="25"/>
  <c r="AR6" i="25"/>
  <c r="AP6" i="25"/>
  <c r="AN6" i="25"/>
  <c r="AL6" i="25"/>
  <c r="AK6" i="25"/>
  <c r="AG6" i="25"/>
  <c r="AF6" i="25"/>
  <c r="AE6" i="25"/>
  <c r="AD6" i="25"/>
  <c r="AB6" i="25"/>
  <c r="AA6" i="25"/>
  <c r="Z6" i="25"/>
  <c r="T6" i="25"/>
  <c r="S6" i="25"/>
  <c r="R6" i="25"/>
  <c r="Q6" i="25"/>
  <c r="L6" i="25"/>
  <c r="I6" i="25"/>
  <c r="H6" i="25"/>
  <c r="AU6" i="25"/>
  <c r="AS6" i="25"/>
  <c r="AQ6" i="25"/>
  <c r="AO6" i="25"/>
  <c r="AM6" i="25"/>
  <c r="AJ6" i="25"/>
  <c r="AI6" i="25"/>
  <c r="AH6" i="25"/>
  <c r="Y6" i="25"/>
  <c r="X6" i="25"/>
  <c r="W6" i="25"/>
  <c r="V6" i="25"/>
  <c r="U6" i="25"/>
  <c r="P6" i="25"/>
  <c r="O6" i="25"/>
  <c r="N6" i="25"/>
  <c r="M6" i="25"/>
  <c r="K6" i="25"/>
  <c r="J6" i="25"/>
  <c r="AC6" i="25"/>
  <c r="H7" i="27"/>
  <c r="H7" i="26"/>
  <c r="H8" i="26" s="1"/>
  <c r="I7" i="26"/>
  <c r="I8" i="26" s="1"/>
  <c r="D53" i="20" a="1"/>
  <c r="E8" i="23"/>
  <c r="D16" i="23"/>
  <c r="E9" i="23"/>
  <c r="F9" i="23" s="1"/>
  <c r="H8" i="27" l="1"/>
  <c r="U7" i="27"/>
  <c r="U8" i="27" s="1"/>
  <c r="V4" i="27"/>
  <c r="I7" i="27"/>
  <c r="J7" i="26"/>
  <c r="J8" i="26" s="1"/>
  <c r="E16" i="23"/>
  <c r="E35" i="23" s="1"/>
  <c r="G9" i="23"/>
  <c r="F16" i="23"/>
  <c r="F35" i="23" s="1"/>
  <c r="D35" i="23"/>
  <c r="D15" i="23"/>
  <c r="I8" i="27" l="1"/>
  <c r="V7" i="27"/>
  <c r="V8" i="27" s="1"/>
  <c r="W4" i="27"/>
  <c r="J7" i="27"/>
  <c r="K7" i="26"/>
  <c r="K8" i="26" s="1"/>
  <c r="D24" i="23"/>
  <c r="A24" i="23" s="1"/>
  <c r="D21" i="23"/>
  <c r="A21" i="23" s="1"/>
  <c r="A15" i="23"/>
  <c r="D33" i="23"/>
  <c r="D18" i="23"/>
  <c r="G16" i="23"/>
  <c r="G35" i="23" s="1"/>
  <c r="H9" i="23"/>
  <c r="A35" i="23"/>
  <c r="A16" i="23"/>
  <c r="E15" i="23"/>
  <c r="F8" i="23"/>
  <c r="J8" i="27" l="1"/>
  <c r="W7" i="27"/>
  <c r="W8" i="27" s="1"/>
  <c r="X4" i="27"/>
  <c r="K7" i="27"/>
  <c r="L7" i="26"/>
  <c r="L8" i="26" s="1"/>
  <c r="A18" i="23"/>
  <c r="G8" i="23"/>
  <c r="F15" i="23"/>
  <c r="H16" i="23"/>
  <c r="H35" i="23" s="1"/>
  <c r="I9" i="23"/>
  <c r="E33" i="23"/>
  <c r="E34" i="23" s="1"/>
  <c r="E24" i="23"/>
  <c r="E21" i="23"/>
  <c r="E18" i="23"/>
  <c r="D34" i="23"/>
  <c r="A33" i="23"/>
  <c r="K8" i="27" l="1"/>
  <c r="X7" i="27"/>
  <c r="X8" i="27" s="1"/>
  <c r="Y4" i="27"/>
  <c r="L7" i="27"/>
  <c r="M7" i="26"/>
  <c r="M8" i="26" s="1"/>
  <c r="F33" i="23"/>
  <c r="F34" i="23" s="1"/>
  <c r="F18" i="23"/>
  <c r="F24" i="23"/>
  <c r="F21" i="23"/>
  <c r="H8" i="23"/>
  <c r="G15" i="23"/>
  <c r="J9" i="23"/>
  <c r="I16" i="23"/>
  <c r="I35" i="23" s="1"/>
  <c r="L8" i="27" l="1"/>
  <c r="Y7" i="27"/>
  <c r="Y8" i="27" s="1"/>
  <c r="Z4" i="27"/>
  <c r="M7" i="27"/>
  <c r="N7" i="26"/>
  <c r="N8" i="26" s="1"/>
  <c r="H15" i="23"/>
  <c r="I8" i="23"/>
  <c r="J16" i="23"/>
  <c r="J35" i="23" s="1"/>
  <c r="K9" i="23"/>
  <c r="G33" i="23"/>
  <c r="G34" i="23" s="1"/>
  <c r="G18" i="23"/>
  <c r="G24" i="23"/>
  <c r="G21" i="23"/>
  <c r="M8" i="27" l="1"/>
  <c r="Z7" i="27"/>
  <c r="Z8" i="27" s="1"/>
  <c r="AA4" i="27"/>
  <c r="AA7" i="27" s="1"/>
  <c r="AA8" i="27" s="1"/>
  <c r="N7" i="27"/>
  <c r="O7" i="26"/>
  <c r="O8" i="26" s="1"/>
  <c r="J8" i="23"/>
  <c r="I15" i="23"/>
  <c r="H33" i="23"/>
  <c r="H34" i="23" s="1"/>
  <c r="H18" i="23"/>
  <c r="H24" i="23"/>
  <c r="H21" i="23"/>
  <c r="K16" i="23"/>
  <c r="K35" i="23" s="1"/>
  <c r="L9" i="23"/>
  <c r="N8" i="27" l="1"/>
  <c r="O7" i="27"/>
  <c r="P7" i="26"/>
  <c r="P8" i="26" s="1"/>
  <c r="M9" i="23"/>
  <c r="M16" i="23" s="1"/>
  <c r="M35" i="23" s="1"/>
  <c r="L16" i="23"/>
  <c r="L35" i="23" s="1"/>
  <c r="J15" i="23"/>
  <c r="K8" i="23"/>
  <c r="I24" i="23"/>
  <c r="I33" i="23"/>
  <c r="I34" i="23" s="1"/>
  <c r="I18" i="23"/>
  <c r="I21" i="23"/>
  <c r="O8" i="27" l="1"/>
  <c r="P7" i="27"/>
  <c r="J21" i="23"/>
  <c r="J33" i="23"/>
  <c r="J34" i="23" s="1"/>
  <c r="J18" i="23"/>
  <c r="J24" i="23"/>
  <c r="L8" i="23"/>
  <c r="K15" i="23"/>
  <c r="P8" i="27" l="1"/>
  <c r="Q7" i="27"/>
  <c r="Q7" i="26"/>
  <c r="Q8" i="26" s="1"/>
  <c r="R7" i="26"/>
  <c r="R8" i="26" s="1"/>
  <c r="L15" i="23"/>
  <c r="M8" i="23"/>
  <c r="M15" i="23" s="1"/>
  <c r="K18" i="23"/>
  <c r="K33" i="23"/>
  <c r="K34" i="23" s="1"/>
  <c r="K24" i="23"/>
  <c r="K21" i="23"/>
  <c r="Q8" i="27" l="1"/>
  <c r="R7" i="27"/>
  <c r="S7" i="27"/>
  <c r="S8" i="27" s="1"/>
  <c r="T7" i="26"/>
  <c r="T8" i="26" s="1"/>
  <c r="M33" i="23"/>
  <c r="M34" i="23" s="1"/>
  <c r="M24" i="23"/>
  <c r="M21" i="23"/>
  <c r="M18" i="23"/>
  <c r="L24" i="23"/>
  <c r="L21" i="23"/>
  <c r="L33" i="23"/>
  <c r="L34" i="23" s="1"/>
  <c r="L18" i="23"/>
  <c r="R8" i="27" l="1"/>
  <c r="U7" i="26"/>
  <c r="U8" i="26" s="1"/>
  <c r="S7" i="26"/>
  <c r="S8" i="26" s="1"/>
  <c r="D16" i="20"/>
  <c r="D36" i="20" s="1"/>
  <c r="D8" i="20"/>
  <c r="V7" i="26" l="1"/>
  <c r="V8" i="26" s="1"/>
  <c r="E8" i="20"/>
  <c r="C8" i="23"/>
  <c r="E9" i="20"/>
  <c r="E16" i="20" s="1"/>
  <c r="E36" i="20" s="1"/>
  <c r="D15" i="20"/>
  <c r="W7" i="26" l="1"/>
  <c r="W8" i="26" s="1"/>
  <c r="A23" i="20"/>
  <c r="F8" i="20"/>
  <c r="E15" i="20"/>
  <c r="E21" i="20" s="1"/>
  <c r="F9" i="20"/>
  <c r="F16" i="20" s="1"/>
  <c r="F36" i="20" s="1"/>
  <c r="D34" i="20"/>
  <c r="A16" i="20"/>
  <c r="D18" i="20"/>
  <c r="D24" i="20"/>
  <c r="A24" i="20" s="1"/>
  <c r="D21" i="20"/>
  <c r="A21" i="20" s="1"/>
  <c r="A15" i="20"/>
  <c r="A36" i="20"/>
  <c r="X7" i="26" l="1"/>
  <c r="X8" i="26" s="1"/>
  <c r="F15" i="20"/>
  <c r="G8" i="20"/>
  <c r="E34" i="20"/>
  <c r="E35" i="20" s="1"/>
  <c r="E24" i="20"/>
  <c r="E18" i="20"/>
  <c r="A18" i="20"/>
  <c r="G9" i="20"/>
  <c r="H9" i="20" s="1"/>
  <c r="A34" i="20"/>
  <c r="D35" i="20"/>
  <c r="Y7" i="26" l="1"/>
  <c r="Y8" i="26" s="1"/>
  <c r="H8" i="20"/>
  <c r="G15" i="20"/>
  <c r="F21" i="20"/>
  <c r="F24" i="20"/>
  <c r="F18" i="20"/>
  <c r="F34" i="20"/>
  <c r="F35" i="20" s="1"/>
  <c r="G16" i="20"/>
  <c r="G36" i="20" s="1"/>
  <c r="I9" i="20"/>
  <c r="H16" i="20"/>
  <c r="H36" i="20" s="1"/>
  <c r="Z7" i="26" l="1"/>
  <c r="Z8" i="26" s="1"/>
  <c r="H15" i="20"/>
  <c r="H34" i="20" s="1"/>
  <c r="H35" i="20" s="1"/>
  <c r="I8" i="20"/>
  <c r="I15" i="20" s="1"/>
  <c r="G24" i="20"/>
  <c r="G21" i="20"/>
  <c r="G18" i="20"/>
  <c r="G34" i="20"/>
  <c r="G35" i="20" s="1"/>
  <c r="J9" i="20"/>
  <c r="I16" i="20"/>
  <c r="I36" i="20" s="1"/>
  <c r="J8" i="20" l="1"/>
  <c r="AA7" i="26"/>
  <c r="AA8" i="26" s="1"/>
  <c r="H24" i="20"/>
  <c r="H21" i="20"/>
  <c r="H18" i="20"/>
  <c r="I24" i="20"/>
  <c r="I21" i="20"/>
  <c r="I18" i="20"/>
  <c r="I34" i="20"/>
  <c r="I35" i="20" s="1"/>
  <c r="K9" i="20"/>
  <c r="J16" i="20"/>
  <c r="J36" i="20" s="1"/>
  <c r="J15" i="20" l="1"/>
  <c r="J21" i="20" s="1"/>
  <c r="K8" i="20"/>
  <c r="AB7" i="26"/>
  <c r="AB8" i="26" s="1"/>
  <c r="L9" i="20"/>
  <c r="K16" i="20"/>
  <c r="K36" i="20" s="1"/>
  <c r="K15" i="20" l="1"/>
  <c r="L8" i="20"/>
  <c r="J18" i="20"/>
  <c r="J34" i="20"/>
  <c r="J35" i="20" s="1"/>
  <c r="J24" i="20"/>
  <c r="AC7" i="26"/>
  <c r="AC8" i="26" s="1"/>
  <c r="L16" i="20"/>
  <c r="L36" i="20" s="1"/>
  <c r="M9" i="20"/>
  <c r="M16" i="20" s="1"/>
  <c r="M36" i="20" s="1"/>
  <c r="K34" i="20" l="1"/>
  <c r="K35" i="20" s="1"/>
  <c r="K21" i="20"/>
  <c r="K24" i="20"/>
  <c r="K18" i="20"/>
  <c r="M8" i="20"/>
  <c r="M15" i="20" s="1"/>
  <c r="M34" i="20" s="1"/>
  <c r="M35" i="20" s="1"/>
  <c r="L15" i="20"/>
  <c r="AD7" i="26"/>
  <c r="AD8" i="26" s="1"/>
  <c r="M24" i="20" l="1"/>
  <c r="M21" i="20"/>
  <c r="M18" i="20"/>
  <c r="L34" i="20"/>
  <c r="L35" i="20" s="1"/>
  <c r="L18" i="20"/>
  <c r="L24" i="20"/>
  <c r="L21" i="20"/>
  <c r="AE7" i="26"/>
  <c r="AE8" i="26" s="1"/>
  <c r="E7" i="2"/>
  <c r="B2" i="8"/>
  <c r="AH7" i="26" l="1"/>
  <c r="AH8" i="26" s="1"/>
  <c r="AF7" i="26"/>
  <c r="AF8" i="26" s="1"/>
  <c r="AG7" i="26"/>
  <c r="AG8" i="26" s="1"/>
  <c r="D20" i="16"/>
  <c r="C19" i="16"/>
  <c r="D19" i="16" s="1"/>
  <c r="D18" i="16"/>
  <c r="C17" i="16"/>
  <c r="D17" i="16" s="1"/>
  <c r="D16" i="16"/>
  <c r="C15" i="16"/>
  <c r="D15" i="16" s="1"/>
  <c r="D14" i="16"/>
  <c r="D13" i="16"/>
  <c r="C13" i="16"/>
  <c r="B9" i="13"/>
  <c r="D16" i="12"/>
  <c r="E16" i="12" s="1"/>
  <c r="F16" i="12" s="1"/>
  <c r="G16" i="12" s="1"/>
  <c r="H16" i="12" s="1"/>
  <c r="I16" i="12" s="1"/>
  <c r="J16" i="12" s="1"/>
  <c r="K16" i="12" s="1"/>
  <c r="C19" i="2"/>
  <c r="B10" i="12" s="1"/>
  <c r="B12" i="12" l="1"/>
  <c r="B11" i="12"/>
  <c r="B13" i="12" s="1"/>
  <c r="B21" i="12"/>
  <c r="C10" i="12"/>
  <c r="AI7" i="26"/>
  <c r="AI8" i="26" s="1"/>
  <c r="B6" i="13"/>
  <c r="C15" i="2"/>
  <c r="B14" i="13"/>
  <c r="B12" i="13"/>
  <c r="B3" i="13"/>
  <c r="E46" i="14"/>
  <c r="E16" i="14"/>
  <c r="B35" i="14"/>
  <c r="E14" i="14"/>
  <c r="B47" i="14"/>
  <c r="D8" i="1"/>
  <c r="D3" i="1"/>
  <c r="C10" i="2"/>
  <c r="B6" i="8"/>
  <c r="C6" i="8"/>
  <c r="D6" i="8"/>
  <c r="E6" i="8"/>
  <c r="F6" i="8"/>
  <c r="G6" i="8"/>
  <c r="H6" i="8"/>
  <c r="I6" i="8"/>
  <c r="J6" i="8"/>
  <c r="K6" i="8"/>
  <c r="B5" i="8"/>
  <c r="C5" i="8"/>
  <c r="D5" i="8"/>
  <c r="E5" i="8"/>
  <c r="F5" i="8"/>
  <c r="G5" i="8"/>
  <c r="H5" i="8"/>
  <c r="I5" i="8"/>
  <c r="J5" i="8"/>
  <c r="K5" i="8"/>
  <c r="D4" i="1"/>
  <c r="H3" i="1" s="1"/>
  <c r="D5" i="1"/>
  <c r="D6" i="1"/>
  <c r="D7" i="1"/>
  <c r="D9" i="1"/>
  <c r="D10" i="1"/>
  <c r="D11" i="1"/>
  <c r="D12" i="1"/>
  <c r="D13" i="1"/>
  <c r="D14" i="1"/>
  <c r="D15" i="1"/>
  <c r="D16" i="1"/>
  <c r="D17" i="1"/>
  <c r="C2" i="8"/>
  <c r="D2" i="8"/>
  <c r="E2" i="8"/>
  <c r="F2" i="8"/>
  <c r="G2" i="8"/>
  <c r="H2" i="8"/>
  <c r="I2" i="8"/>
  <c r="J2" i="8"/>
  <c r="K2" i="8"/>
  <c r="E6" i="2"/>
  <c r="I3" i="8" s="1"/>
  <c r="C6" i="9"/>
  <c r="C18" i="1"/>
  <c r="B18" i="1"/>
  <c r="B14" i="12" l="1"/>
  <c r="C12" i="12"/>
  <c r="C11" i="12"/>
  <c r="C13" i="12"/>
  <c r="D17" i="23"/>
  <c r="D17" i="20"/>
  <c r="D5" i="25"/>
  <c r="D7" i="27"/>
  <c r="D11" i="26"/>
  <c r="D7" i="26"/>
  <c r="AJ7" i="26"/>
  <c r="AJ8" i="26" s="1"/>
  <c r="D18" i="1"/>
  <c r="H4" i="1"/>
  <c r="C62" i="23"/>
  <c r="C63" i="23" s="1"/>
  <c r="P47" i="23"/>
  <c r="P41" i="23"/>
  <c r="C40" i="23"/>
  <c r="D40" i="23" s="1"/>
  <c r="H62" i="23"/>
  <c r="C63" i="20"/>
  <c r="C64" i="20" s="1"/>
  <c r="C66" i="20" s="1"/>
  <c r="P48" i="20"/>
  <c r="P42" i="20"/>
  <c r="C41" i="20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H63" i="20"/>
  <c r="B2" i="10"/>
  <c r="C2" i="10"/>
  <c r="D2" i="10"/>
  <c r="E2" i="10"/>
  <c r="F2" i="10"/>
  <c r="H3" i="10"/>
  <c r="H4" i="10" s="1"/>
  <c r="I3" i="10"/>
  <c r="I4" i="10" s="1"/>
  <c r="J3" i="10"/>
  <c r="J4" i="10" s="1"/>
  <c r="G3" i="10"/>
  <c r="G4" i="10" s="1"/>
  <c r="K3" i="10"/>
  <c r="D10" i="12"/>
  <c r="B7" i="13"/>
  <c r="B10" i="13" s="1"/>
  <c r="B15" i="13" s="1"/>
  <c r="B16" i="13" s="1"/>
  <c r="B28" i="14"/>
  <c r="B4" i="8"/>
  <c r="E15" i="14"/>
  <c r="E17" i="14" s="1"/>
  <c r="C35" i="14" s="1"/>
  <c r="F46" i="14"/>
  <c r="B48" i="14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J3" i="8"/>
  <c r="G4" i="8"/>
  <c r="H3" i="8"/>
  <c r="C4" i="8"/>
  <c r="D4" i="8"/>
  <c r="E4" i="8"/>
  <c r="F4" i="8"/>
  <c r="H4" i="8"/>
  <c r="J4" i="8"/>
  <c r="K4" i="8"/>
  <c r="I4" i="8"/>
  <c r="C3" i="8"/>
  <c r="E3" i="8"/>
  <c r="B3" i="8"/>
  <c r="D3" i="8"/>
  <c r="F3" i="8"/>
  <c r="K3" i="8"/>
  <c r="G3" i="8"/>
  <c r="D11" i="12" l="1"/>
  <c r="D12" i="12"/>
  <c r="D13" i="12"/>
  <c r="E10" i="12"/>
  <c r="E17" i="20"/>
  <c r="D19" i="20"/>
  <c r="A17" i="20"/>
  <c r="D19" i="23"/>
  <c r="A17" i="23"/>
  <c r="E17" i="23"/>
  <c r="G10" i="26"/>
  <c r="G14" i="26" s="1"/>
  <c r="G9" i="26"/>
  <c r="G10" i="27"/>
  <c r="G14" i="27" s="1"/>
  <c r="G9" i="27"/>
  <c r="J27" i="27"/>
  <c r="G8" i="25"/>
  <c r="G7" i="25"/>
  <c r="B7" i="8"/>
  <c r="AK7" i="26"/>
  <c r="AK8" i="26" s="1"/>
  <c r="D20" i="20"/>
  <c r="D20" i="23"/>
  <c r="E40" i="23"/>
  <c r="F40" i="23" s="1"/>
  <c r="G40" i="23" s="1"/>
  <c r="H40" i="23" s="1"/>
  <c r="I40" i="23" s="1"/>
  <c r="J40" i="23" s="1"/>
  <c r="K40" i="23" s="1"/>
  <c r="L40" i="23" s="1"/>
  <c r="M40" i="23" s="1"/>
  <c r="K4" i="10"/>
  <c r="B30" i="14"/>
  <c r="C46" i="14" s="1"/>
  <c r="G46" i="14" s="1"/>
  <c r="C7" i="8"/>
  <c r="E7" i="8"/>
  <c r="G47" i="14"/>
  <c r="F4" i="10"/>
  <c r="D4" i="10"/>
  <c r="C4" i="10"/>
  <c r="E4" i="10"/>
  <c r="B4" i="10"/>
  <c r="G7" i="8"/>
  <c r="F7" i="8"/>
  <c r="D7" i="8"/>
  <c r="H7" i="8"/>
  <c r="I7" i="8"/>
  <c r="J7" i="8"/>
  <c r="K7" i="8"/>
  <c r="F10" i="12" l="1"/>
  <c r="G10" i="12" s="1"/>
  <c r="E12" i="12"/>
  <c r="E11" i="12"/>
  <c r="E13" i="12"/>
  <c r="E19" i="23"/>
  <c r="E75" i="23" s="1"/>
  <c r="F17" i="23"/>
  <c r="A19" i="23"/>
  <c r="D75" i="23"/>
  <c r="D78" i="20"/>
  <c r="A19" i="20"/>
  <c r="F17" i="20"/>
  <c r="E19" i="20"/>
  <c r="E78" i="20" s="1"/>
  <c r="H11" i="26"/>
  <c r="H13" i="26" s="1"/>
  <c r="H15" i="26" s="1"/>
  <c r="AE12" i="26"/>
  <c r="AK12" i="26"/>
  <c r="AB12" i="26"/>
  <c r="Y12" i="26"/>
  <c r="H9" i="26"/>
  <c r="W12" i="26"/>
  <c r="AC12" i="26"/>
  <c r="T12" i="26"/>
  <c r="Q12" i="26"/>
  <c r="G15" i="26"/>
  <c r="AN12" i="26"/>
  <c r="AH12" i="26"/>
  <c r="U12" i="26"/>
  <c r="AQ12" i="26"/>
  <c r="AF12" i="26"/>
  <c r="AP12" i="26"/>
  <c r="X12" i="26"/>
  <c r="AL12" i="26"/>
  <c r="Z12" i="26"/>
  <c r="AA12" i="26"/>
  <c r="P12" i="26"/>
  <c r="AD12" i="26"/>
  <c r="S12" i="26"/>
  <c r="R12" i="26"/>
  <c r="AU12" i="26"/>
  <c r="V12" i="26"/>
  <c r="AR12" i="26"/>
  <c r="AO12" i="26"/>
  <c r="AM12" i="26"/>
  <c r="AS12" i="26"/>
  <c r="AJ12" i="26"/>
  <c r="AG12" i="26"/>
  <c r="AT12" i="26"/>
  <c r="AI12" i="26"/>
  <c r="H9" i="25"/>
  <c r="H11" i="25" s="1"/>
  <c r="H13" i="25" s="1"/>
  <c r="H7" i="25"/>
  <c r="G12" i="25"/>
  <c r="G13" i="25" s="1"/>
  <c r="AH10" i="25"/>
  <c r="T10" i="25"/>
  <c r="AT10" i="25"/>
  <c r="AF10" i="25"/>
  <c r="S10" i="25"/>
  <c r="AQ10" i="25"/>
  <c r="AD10" i="25"/>
  <c r="R10" i="25"/>
  <c r="AP10" i="25"/>
  <c r="AB10" i="25"/>
  <c r="P10" i="25"/>
  <c r="AN10" i="25"/>
  <c r="AA10" i="25"/>
  <c r="N10" i="25"/>
  <c r="AJ10" i="25"/>
  <c r="X10" i="25"/>
  <c r="AL10" i="25"/>
  <c r="Z10" i="25"/>
  <c r="L10" i="25"/>
  <c r="AI10" i="25"/>
  <c r="V10" i="25"/>
  <c r="M10" i="25"/>
  <c r="AM10" i="25"/>
  <c r="U10" i="25"/>
  <c r="AU10" i="25"/>
  <c r="AC10" i="25"/>
  <c r="Q10" i="25"/>
  <c r="AG10" i="25"/>
  <c r="AO10" i="25"/>
  <c r="AK10" i="25"/>
  <c r="Y10" i="25"/>
  <c r="AS10" i="25"/>
  <c r="O10" i="25"/>
  <c r="W10" i="25"/>
  <c r="AR10" i="25"/>
  <c r="AE10" i="25"/>
  <c r="J28" i="27"/>
  <c r="J29" i="27" s="1"/>
  <c r="J30" i="27" s="1"/>
  <c r="J31" i="27" s="1"/>
  <c r="J32" i="27" s="1"/>
  <c r="J33" i="27" s="1"/>
  <c r="J34" i="27" s="1"/>
  <c r="J35" i="27" s="1"/>
  <c r="AA12" i="27"/>
  <c r="H36" i="27" s="1"/>
  <c r="H37" i="27" s="1"/>
  <c r="H9" i="27"/>
  <c r="G15" i="27"/>
  <c r="H11" i="27"/>
  <c r="D22" i="23" a="1"/>
  <c r="AL7" i="26"/>
  <c r="AL8" i="26" s="1"/>
  <c r="A20" i="20"/>
  <c r="E20" i="20"/>
  <c r="F20" i="20" s="1"/>
  <c r="G20" i="20" s="1"/>
  <c r="H20" i="20" s="1"/>
  <c r="I20" i="20" s="1"/>
  <c r="J20" i="20" s="1"/>
  <c r="K20" i="20" s="1"/>
  <c r="L20" i="20" s="1"/>
  <c r="M20" i="20" s="1"/>
  <c r="A20" i="23"/>
  <c r="E20" i="23"/>
  <c r="F20" i="23" s="1"/>
  <c r="G20" i="23" s="1"/>
  <c r="H20" i="23" s="1"/>
  <c r="I20" i="23" s="1"/>
  <c r="J20" i="23" s="1"/>
  <c r="K20" i="23" s="1"/>
  <c r="L20" i="23" s="1"/>
  <c r="M20" i="23" s="1"/>
  <c r="D25" i="20" a="1"/>
  <c r="F41" i="23"/>
  <c r="K41" i="23"/>
  <c r="G41" i="23"/>
  <c r="L41" i="23"/>
  <c r="I41" i="23"/>
  <c r="H41" i="23"/>
  <c r="E41" i="23"/>
  <c r="M41" i="23"/>
  <c r="J41" i="23"/>
  <c r="D23" i="23" a="1"/>
  <c r="D22" i="20" a="1"/>
  <c r="G48" i="14"/>
  <c r="F12" i="12" l="1"/>
  <c r="F11" i="12"/>
  <c r="F13" i="12" s="1"/>
  <c r="G12" i="12"/>
  <c r="G11" i="12"/>
  <c r="G13" i="12" s="1"/>
  <c r="G17" i="23"/>
  <c r="F19" i="23"/>
  <c r="F75" i="23" s="1"/>
  <c r="F19" i="20"/>
  <c r="F78" i="20" s="1"/>
  <c r="G17" i="20"/>
  <c r="I7" i="25"/>
  <c r="I9" i="25"/>
  <c r="I11" i="25" s="1"/>
  <c r="I13" i="25" s="1"/>
  <c r="I9" i="26"/>
  <c r="I11" i="26"/>
  <c r="I13" i="26" s="1"/>
  <c r="I15" i="26" s="1"/>
  <c r="J36" i="27"/>
  <c r="D90" i="20" s="1" a="1"/>
  <c r="I9" i="27"/>
  <c r="I11" i="27"/>
  <c r="I13" i="27" s="1"/>
  <c r="I15" i="27" s="1"/>
  <c r="H13" i="27"/>
  <c r="H15" i="27" s="1"/>
  <c r="AM7" i="26"/>
  <c r="AM8" i="26" s="1"/>
  <c r="K42" i="20"/>
  <c r="G42" i="20"/>
  <c r="E42" i="20"/>
  <c r="M42" i="20"/>
  <c r="L42" i="20"/>
  <c r="F42" i="20"/>
  <c r="H42" i="20"/>
  <c r="I42" i="20"/>
  <c r="J42" i="20"/>
  <c r="E26" i="20"/>
  <c r="E25" i="23"/>
  <c r="H10" i="12"/>
  <c r="G49" i="14"/>
  <c r="H11" i="12" l="1"/>
  <c r="H12" i="12"/>
  <c r="F25" i="23"/>
  <c r="F48" i="23" s="1"/>
  <c r="F26" i="20"/>
  <c r="F49" i="20" s="1"/>
  <c r="G19" i="20"/>
  <c r="H17" i="20"/>
  <c r="G19" i="23"/>
  <c r="H17" i="23"/>
  <c r="G27" i="27"/>
  <c r="J9" i="26"/>
  <c r="J11" i="26"/>
  <c r="J13" i="26" s="1"/>
  <c r="J15" i="26" s="1"/>
  <c r="J7" i="25"/>
  <c r="J9" i="25"/>
  <c r="J11" i="25" s="1"/>
  <c r="J13" i="25" s="1"/>
  <c r="J9" i="27"/>
  <c r="J11" i="27"/>
  <c r="AN7" i="26"/>
  <c r="AN8" i="26" s="1"/>
  <c r="E31" i="23"/>
  <c r="E76" i="23"/>
  <c r="E48" i="23"/>
  <c r="F31" i="23"/>
  <c r="E79" i="20"/>
  <c r="E49" i="20"/>
  <c r="E32" i="20"/>
  <c r="I10" i="12"/>
  <c r="G50" i="14"/>
  <c r="G51" i="14"/>
  <c r="H13" i="12" l="1"/>
  <c r="I11" i="12"/>
  <c r="I13" i="12" s="1"/>
  <c r="I12" i="12"/>
  <c r="J10" i="12"/>
  <c r="F32" i="20"/>
  <c r="F80" i="20" s="1"/>
  <c r="F79" i="20"/>
  <c r="F76" i="23"/>
  <c r="H19" i="23"/>
  <c r="I17" i="23"/>
  <c r="G75" i="23"/>
  <c r="G25" i="23"/>
  <c r="H19" i="20"/>
  <c r="I17" i="20"/>
  <c r="G78" i="20"/>
  <c r="G26" i="20"/>
  <c r="K9" i="27"/>
  <c r="K11" i="27"/>
  <c r="K13" i="27" s="1"/>
  <c r="K15" i="27" s="1"/>
  <c r="K7" i="25"/>
  <c r="K9" i="25"/>
  <c r="K11" i="25" s="1"/>
  <c r="K13" i="25" s="1"/>
  <c r="I27" i="27"/>
  <c r="K9" i="26"/>
  <c r="K11" i="26"/>
  <c r="K13" i="26" s="1"/>
  <c r="K15" i="26" s="1"/>
  <c r="J13" i="27"/>
  <c r="J15" i="27" s="1"/>
  <c r="AO7" i="26"/>
  <c r="AO8" i="26" s="1"/>
  <c r="F49" i="23"/>
  <c r="F58" i="23" s="1"/>
  <c r="E77" i="23"/>
  <c r="E57" i="23"/>
  <c r="F77" i="23"/>
  <c r="F57" i="23"/>
  <c r="E49" i="23"/>
  <c r="E58" i="23" s="1"/>
  <c r="E80" i="20"/>
  <c r="E58" i="20"/>
  <c r="E50" i="20"/>
  <c r="E59" i="20" s="1"/>
  <c r="F50" i="20"/>
  <c r="F59" i="20" s="1"/>
  <c r="G52" i="14"/>
  <c r="J11" i="12" l="1"/>
  <c r="J12" i="12"/>
  <c r="K10" i="12"/>
  <c r="F58" i="20"/>
  <c r="F60" i="20" s="1"/>
  <c r="H78" i="20"/>
  <c r="H26" i="20"/>
  <c r="G49" i="20"/>
  <c r="G50" i="20" s="1"/>
  <c r="G59" i="20" s="1"/>
  <c r="G32" i="20"/>
  <c r="G79" i="20"/>
  <c r="G48" i="23"/>
  <c r="G31" i="23"/>
  <c r="G76" i="23"/>
  <c r="I19" i="23"/>
  <c r="J17" i="23"/>
  <c r="I19" i="20"/>
  <c r="J17" i="20"/>
  <c r="G28" i="27"/>
  <c r="H75" i="23"/>
  <c r="H25" i="23"/>
  <c r="L9" i="26"/>
  <c r="L11" i="26"/>
  <c r="L13" i="26" s="1"/>
  <c r="L15" i="26" s="1"/>
  <c r="L9" i="27"/>
  <c r="L11" i="27"/>
  <c r="L9" i="25"/>
  <c r="L11" i="25" s="1"/>
  <c r="L13" i="25" s="1"/>
  <c r="L7" i="25"/>
  <c r="AP7" i="26"/>
  <c r="AP8" i="26" s="1"/>
  <c r="F59" i="23"/>
  <c r="E60" i="20"/>
  <c r="E51" i="20"/>
  <c r="F50" i="23"/>
  <c r="E59" i="23"/>
  <c r="F51" i="20"/>
  <c r="E50" i="23"/>
  <c r="G53" i="14"/>
  <c r="J13" i="12" l="1"/>
  <c r="K11" i="12"/>
  <c r="K12" i="12"/>
  <c r="I28" i="27"/>
  <c r="G51" i="20"/>
  <c r="G49" i="23"/>
  <c r="G58" i="23" s="1"/>
  <c r="J19" i="20"/>
  <c r="K17" i="20"/>
  <c r="G80" i="20"/>
  <c r="G58" i="20"/>
  <c r="G60" i="20" s="1"/>
  <c r="G57" i="23"/>
  <c r="G77" i="23"/>
  <c r="I26" i="20"/>
  <c r="I78" i="20"/>
  <c r="H48" i="23"/>
  <c r="H31" i="23"/>
  <c r="H76" i="23"/>
  <c r="J19" i="23"/>
  <c r="K17" i="23"/>
  <c r="H49" i="20"/>
  <c r="H50" i="20" s="1"/>
  <c r="H59" i="20" s="1"/>
  <c r="H79" i="20"/>
  <c r="H32" i="20"/>
  <c r="I25" i="23"/>
  <c r="I75" i="23"/>
  <c r="M9" i="27"/>
  <c r="M11" i="27"/>
  <c r="M13" i="27" s="1"/>
  <c r="M15" i="27" s="1"/>
  <c r="M9" i="25"/>
  <c r="M11" i="25" s="1"/>
  <c r="M13" i="25" s="1"/>
  <c r="M7" i="25"/>
  <c r="L13" i="27"/>
  <c r="L15" i="27" s="1"/>
  <c r="M9" i="26"/>
  <c r="M11" i="26"/>
  <c r="M13" i="26" s="1"/>
  <c r="M15" i="26" s="1"/>
  <c r="AQ7" i="26"/>
  <c r="AQ8" i="26" s="1"/>
  <c r="G54" i="14"/>
  <c r="K13" i="12" l="1"/>
  <c r="B19" i="12" s="1"/>
  <c r="G59" i="23"/>
  <c r="G29" i="27"/>
  <c r="I29" i="27" s="1"/>
  <c r="L17" i="23"/>
  <c r="K19" i="23"/>
  <c r="H51" i="20"/>
  <c r="J25" i="23"/>
  <c r="J75" i="23"/>
  <c r="H77" i="23"/>
  <c r="H57" i="23"/>
  <c r="K19" i="20"/>
  <c r="L17" i="20"/>
  <c r="I48" i="23"/>
  <c r="I49" i="23" s="1"/>
  <c r="I58" i="23" s="1"/>
  <c r="I31" i="23"/>
  <c r="I76" i="23"/>
  <c r="H49" i="23"/>
  <c r="H58" i="23" s="1"/>
  <c r="J26" i="20"/>
  <c r="J78" i="20"/>
  <c r="H58" i="20"/>
  <c r="H60" i="20" s="1"/>
  <c r="H80" i="20"/>
  <c r="G50" i="23"/>
  <c r="I49" i="20"/>
  <c r="I32" i="20"/>
  <c r="I79" i="20"/>
  <c r="N9" i="26"/>
  <c r="N11" i="26"/>
  <c r="N13" i="26" s="1"/>
  <c r="N15" i="26" s="1"/>
  <c r="N9" i="25"/>
  <c r="N11" i="25" s="1"/>
  <c r="N13" i="25" s="1"/>
  <c r="N7" i="25"/>
  <c r="N9" i="27"/>
  <c r="N11" i="27"/>
  <c r="AR7" i="26"/>
  <c r="AR8" i="26" s="1"/>
  <c r="AU7" i="26"/>
  <c r="AU8" i="26" s="1"/>
  <c r="G55" i="14"/>
  <c r="H50" i="23" l="1"/>
  <c r="I50" i="23"/>
  <c r="H59" i="23"/>
  <c r="J32" i="20"/>
  <c r="J49" i="20"/>
  <c r="J50" i="20" s="1"/>
  <c r="J59" i="20" s="1"/>
  <c r="J79" i="20"/>
  <c r="I58" i="20"/>
  <c r="I80" i="20"/>
  <c r="I50" i="20"/>
  <c r="I59" i="20" s="1"/>
  <c r="I57" i="23"/>
  <c r="I59" i="23" s="1"/>
  <c r="I77" i="23"/>
  <c r="J48" i="23"/>
  <c r="J49" i="23" s="1"/>
  <c r="J58" i="23" s="1"/>
  <c r="J76" i="23"/>
  <c r="J31" i="23"/>
  <c r="M17" i="20"/>
  <c r="M19" i="20" s="1"/>
  <c r="L19" i="20"/>
  <c r="K25" i="23"/>
  <c r="K75" i="23"/>
  <c r="K78" i="20"/>
  <c r="K26" i="20"/>
  <c r="M17" i="23"/>
  <c r="M19" i="23" s="1"/>
  <c r="L19" i="23"/>
  <c r="N13" i="27"/>
  <c r="N15" i="27" s="1"/>
  <c r="O9" i="27"/>
  <c r="O11" i="27"/>
  <c r="O13" i="27" s="1"/>
  <c r="O15" i="27" s="1"/>
  <c r="O7" i="25"/>
  <c r="O9" i="25"/>
  <c r="O11" i="25" s="1"/>
  <c r="O13" i="25" s="1"/>
  <c r="O9" i="26"/>
  <c r="O11" i="26"/>
  <c r="O13" i="26" s="1"/>
  <c r="O15" i="26" s="1"/>
  <c r="AS7" i="26"/>
  <c r="AS8" i="26" s="1"/>
  <c r="AT7" i="26"/>
  <c r="AT8" i="26" s="1"/>
  <c r="G56" i="14"/>
  <c r="J50" i="23" l="1"/>
  <c r="K48" i="23"/>
  <c r="K49" i="23" s="1"/>
  <c r="K58" i="23" s="1"/>
  <c r="K31" i="23"/>
  <c r="K76" i="23"/>
  <c r="I51" i="20"/>
  <c r="L78" i="20"/>
  <c r="L26" i="20"/>
  <c r="M26" i="20"/>
  <c r="M78" i="20"/>
  <c r="L75" i="23"/>
  <c r="L25" i="23"/>
  <c r="M25" i="23"/>
  <c r="M75" i="23"/>
  <c r="J57" i="23"/>
  <c r="J59" i="23" s="1"/>
  <c r="J77" i="23"/>
  <c r="I60" i="20"/>
  <c r="K32" i="20"/>
  <c r="K79" i="20"/>
  <c r="K49" i="20"/>
  <c r="J51" i="20"/>
  <c r="J80" i="20"/>
  <c r="J58" i="20"/>
  <c r="J60" i="20" s="1"/>
  <c r="P7" i="25"/>
  <c r="P9" i="25"/>
  <c r="P11" i="25" s="1"/>
  <c r="P13" i="25" s="1"/>
  <c r="P9" i="27"/>
  <c r="P11" i="27"/>
  <c r="P9" i="26"/>
  <c r="P11" i="26"/>
  <c r="P13" i="26" s="1"/>
  <c r="P15" i="26" s="1"/>
  <c r="G30" i="27"/>
  <c r="G57" i="14"/>
  <c r="K50" i="20" l="1"/>
  <c r="K50" i="23"/>
  <c r="K80" i="20"/>
  <c r="K58" i="20"/>
  <c r="M49" i="20"/>
  <c r="M50" i="20" s="1"/>
  <c r="M59" i="20" s="1"/>
  <c r="M32" i="20"/>
  <c r="M79" i="20"/>
  <c r="L79" i="20"/>
  <c r="L49" i="20"/>
  <c r="L50" i="20" s="1"/>
  <c r="L59" i="20" s="1"/>
  <c r="L32" i="20"/>
  <c r="M76" i="23"/>
  <c r="M48" i="23"/>
  <c r="M49" i="23" s="1"/>
  <c r="M58" i="23" s="1"/>
  <c r="M31" i="23"/>
  <c r="L76" i="23"/>
  <c r="L48" i="23"/>
  <c r="L49" i="23" s="1"/>
  <c r="L58" i="23" s="1"/>
  <c r="L31" i="23"/>
  <c r="K77" i="23"/>
  <c r="K57" i="23"/>
  <c r="K59" i="23" s="1"/>
  <c r="I30" i="27"/>
  <c r="P13" i="27"/>
  <c r="P15" i="27" s="1"/>
  <c r="Q9" i="26"/>
  <c r="Q11" i="26"/>
  <c r="Q13" i="26" s="1"/>
  <c r="Q15" i="26" s="1"/>
  <c r="Q9" i="27"/>
  <c r="Q11" i="27"/>
  <c r="Q13" i="27" s="1"/>
  <c r="Q15" i="27" s="1"/>
  <c r="Q7" i="25"/>
  <c r="Q9" i="25"/>
  <c r="Q11" i="25" s="1"/>
  <c r="Q13" i="25" s="1"/>
  <c r="G58" i="14"/>
  <c r="K59" i="20" l="1"/>
  <c r="K60" i="20" s="1"/>
  <c r="K51" i="20"/>
  <c r="M51" i="20"/>
  <c r="L50" i="23"/>
  <c r="L51" i="20"/>
  <c r="M50" i="23"/>
  <c r="L57" i="23"/>
  <c r="L59" i="23" s="1"/>
  <c r="L77" i="23"/>
  <c r="L80" i="20"/>
  <c r="L58" i="20"/>
  <c r="L60" i="20" s="1"/>
  <c r="M58" i="20"/>
  <c r="M60" i="20" s="1"/>
  <c r="M80" i="20"/>
  <c r="M57" i="23"/>
  <c r="M59" i="23" s="1"/>
  <c r="M77" i="23"/>
  <c r="G31" i="27"/>
  <c r="I31" i="27" s="1"/>
  <c r="R9" i="25"/>
  <c r="R11" i="25" s="1"/>
  <c r="R13" i="25" s="1"/>
  <c r="R7" i="25"/>
  <c r="R9" i="27"/>
  <c r="R11" i="27"/>
  <c r="R9" i="26"/>
  <c r="R11" i="26"/>
  <c r="R13" i="26" s="1"/>
  <c r="R15" i="26" s="1"/>
  <c r="G59" i="14"/>
  <c r="S9" i="27" l="1"/>
  <c r="S11" i="27"/>
  <c r="S13" i="27" s="1"/>
  <c r="S15" i="27" s="1"/>
  <c r="S9" i="26"/>
  <c r="S11" i="26"/>
  <c r="S13" i="26" s="1"/>
  <c r="S15" i="26" s="1"/>
  <c r="R13" i="27"/>
  <c r="R15" i="27" s="1"/>
  <c r="S9" i="25"/>
  <c r="S11" i="25" s="1"/>
  <c r="S13" i="25" s="1"/>
  <c r="S7" i="25"/>
  <c r="G60" i="14"/>
  <c r="G32" i="27" l="1"/>
  <c r="I32" i="27" s="1"/>
  <c r="T7" i="25"/>
  <c r="T9" i="25"/>
  <c r="T11" i="25" s="1"/>
  <c r="T13" i="25" s="1"/>
  <c r="T9" i="27"/>
  <c r="T11" i="27"/>
  <c r="T9" i="26"/>
  <c r="T11" i="26"/>
  <c r="T13" i="26" s="1"/>
  <c r="T15" i="26" s="1"/>
  <c r="G61" i="14"/>
  <c r="U9" i="26" l="1"/>
  <c r="U11" i="26"/>
  <c r="U13" i="26" s="1"/>
  <c r="U15" i="26" s="1"/>
  <c r="T13" i="27"/>
  <c r="T15" i="27" s="1"/>
  <c r="U9" i="27"/>
  <c r="U11" i="27"/>
  <c r="U13" i="27" s="1"/>
  <c r="U15" i="27" s="1"/>
  <c r="U9" i="25"/>
  <c r="U11" i="25" s="1"/>
  <c r="U13" i="25" s="1"/>
  <c r="U7" i="25"/>
  <c r="G62" i="14"/>
  <c r="G33" i="27" l="1"/>
  <c r="I33" i="27" s="1"/>
  <c r="V9" i="27"/>
  <c r="V11" i="27"/>
  <c r="V9" i="26"/>
  <c r="V11" i="26"/>
  <c r="V13" i="26" s="1"/>
  <c r="V15" i="26" s="1"/>
  <c r="V9" i="25"/>
  <c r="V11" i="25" s="1"/>
  <c r="V13" i="25" s="1"/>
  <c r="V7" i="25"/>
  <c r="G63" i="14"/>
  <c r="W7" i="25" l="1"/>
  <c r="W9" i="25"/>
  <c r="W11" i="25" s="1"/>
  <c r="W13" i="25" s="1"/>
  <c r="W9" i="26"/>
  <c r="W11" i="26"/>
  <c r="W13" i="26" s="1"/>
  <c r="W15" i="26" s="1"/>
  <c r="V13" i="27"/>
  <c r="V15" i="27" s="1"/>
  <c r="W9" i="27"/>
  <c r="W11" i="27"/>
  <c r="W13" i="27" s="1"/>
  <c r="W15" i="27" s="1"/>
  <c r="G64" i="14"/>
  <c r="G34" i="27" l="1"/>
  <c r="I34" i="27" s="1"/>
  <c r="X9" i="26"/>
  <c r="X11" i="26"/>
  <c r="X13" i="26" s="1"/>
  <c r="X15" i="26" s="1"/>
  <c r="X9" i="27"/>
  <c r="X11" i="27"/>
  <c r="X7" i="25"/>
  <c r="X9" i="25"/>
  <c r="X11" i="25" s="1"/>
  <c r="X13" i="25" s="1"/>
  <c r="G65" i="14"/>
  <c r="Y9" i="27" l="1"/>
  <c r="Y11" i="27"/>
  <c r="Y13" i="27" s="1"/>
  <c r="Y15" i="27" s="1"/>
  <c r="Y7" i="25"/>
  <c r="Y9" i="25"/>
  <c r="Y11" i="25" s="1"/>
  <c r="Y13" i="25" s="1"/>
  <c r="X13" i="27"/>
  <c r="X15" i="27" s="1"/>
  <c r="Y9" i="26"/>
  <c r="Y11" i="26"/>
  <c r="Y13" i="26" s="1"/>
  <c r="Y15" i="26" s="1"/>
  <c r="G66" i="14"/>
  <c r="G35" i="27" l="1"/>
  <c r="I35" i="27" s="1"/>
  <c r="Z9" i="26"/>
  <c r="Z11" i="26"/>
  <c r="Z13" i="26" s="1"/>
  <c r="Z15" i="26" s="1"/>
  <c r="Z7" i="25"/>
  <c r="Z9" i="25"/>
  <c r="Z11" i="25" s="1"/>
  <c r="Z13" i="25" s="1"/>
  <c r="Z9" i="27"/>
  <c r="Z11" i="27"/>
  <c r="G67" i="14"/>
  <c r="AA9" i="27" l="1"/>
  <c r="AA11" i="27"/>
  <c r="AA13" i="27" s="1"/>
  <c r="AA15" i="27" s="1"/>
  <c r="Z13" i="27"/>
  <c r="Z15" i="27" s="1"/>
  <c r="AA7" i="25"/>
  <c r="AA9" i="25"/>
  <c r="AA11" i="25" s="1"/>
  <c r="AA13" i="25" s="1"/>
  <c r="AA9" i="26"/>
  <c r="AA11" i="26"/>
  <c r="AA13" i="26" s="1"/>
  <c r="AA15" i="26" s="1"/>
  <c r="G68" i="14"/>
  <c r="G36" i="27" l="1"/>
  <c r="D26" i="23" s="1" a="1"/>
  <c r="AB9" i="26"/>
  <c r="AB11" i="26"/>
  <c r="AB13" i="26" s="1"/>
  <c r="AB15" i="26" s="1"/>
  <c r="AB7" i="25"/>
  <c r="AB9" i="25"/>
  <c r="AB11" i="25" s="1"/>
  <c r="AB13" i="25" s="1"/>
  <c r="G17" i="27"/>
  <c r="G18" i="27" s="1"/>
  <c r="G19" i="27" s="1"/>
  <c r="B17" i="13" s="1"/>
  <c r="B18" i="13" s="1"/>
  <c r="G69" i="14"/>
  <c r="L69" i="23" l="1"/>
  <c r="L65" i="20"/>
  <c r="I65" i="20"/>
  <c r="J69" i="23"/>
  <c r="D69" i="23"/>
  <c r="N65" i="20"/>
  <c r="H69" i="23"/>
  <c r="K69" i="23"/>
  <c r="J65" i="20"/>
  <c r="N69" i="23"/>
  <c r="M65" i="20"/>
  <c r="H65" i="20"/>
  <c r="D65" i="20"/>
  <c r="M69" i="23"/>
  <c r="F65" i="20"/>
  <c r="G69" i="23"/>
  <c r="G65" i="20"/>
  <c r="F69" i="23"/>
  <c r="K65" i="20"/>
  <c r="E69" i="23"/>
  <c r="E65" i="20"/>
  <c r="I69" i="23"/>
  <c r="G37" i="27"/>
  <c r="I36" i="27"/>
  <c r="D87" i="20" s="1" a="1"/>
  <c r="D27" i="20" a="1"/>
  <c r="AC9" i="25"/>
  <c r="AC11" i="25" s="1"/>
  <c r="AC13" i="25" s="1"/>
  <c r="AC7" i="25"/>
  <c r="AC9" i="26"/>
  <c r="AC11" i="26"/>
  <c r="AC13" i="26" s="1"/>
  <c r="AC15" i="26" s="1"/>
  <c r="G70" i="14"/>
  <c r="D94" i="20" l="1"/>
  <c r="M94" i="20"/>
  <c r="L94" i="20"/>
  <c r="K94" i="20"/>
  <c r="J94" i="20"/>
  <c r="I94" i="20"/>
  <c r="H94" i="20"/>
  <c r="G94" i="20"/>
  <c r="F94" i="20"/>
  <c r="E94" i="20"/>
  <c r="I37" i="27"/>
  <c r="AD9" i="26"/>
  <c r="AD11" i="26"/>
  <c r="AD13" i="26" s="1"/>
  <c r="AD15" i="26" s="1"/>
  <c r="AD7" i="25"/>
  <c r="AD9" i="25"/>
  <c r="AD11" i="25" s="1"/>
  <c r="AD13" i="25" s="1"/>
  <c r="G71" i="14"/>
  <c r="AE7" i="25" l="1"/>
  <c r="AE9" i="25"/>
  <c r="AE11" i="25" s="1"/>
  <c r="AE13" i="25" s="1"/>
  <c r="AE9" i="26"/>
  <c r="AE11" i="26"/>
  <c r="AE13" i="26" s="1"/>
  <c r="AE15" i="26" s="1"/>
  <c r="G72" i="14"/>
  <c r="AF9" i="26" l="1"/>
  <c r="AF11" i="26"/>
  <c r="AF13" i="26" s="1"/>
  <c r="AF15" i="26" s="1"/>
  <c r="AF7" i="25"/>
  <c r="AF9" i="25"/>
  <c r="AF11" i="25" s="1"/>
  <c r="AF13" i="25" s="1"/>
  <c r="G73" i="14"/>
  <c r="AG7" i="25" l="1"/>
  <c r="AG9" i="25"/>
  <c r="AG11" i="25" s="1"/>
  <c r="AG13" i="25" s="1"/>
  <c r="AG9" i="26"/>
  <c r="AG11" i="26"/>
  <c r="AG13" i="26" s="1"/>
  <c r="AG15" i="26" s="1"/>
  <c r="G74" i="14"/>
  <c r="AH9" i="26" l="1"/>
  <c r="AH11" i="26"/>
  <c r="AH13" i="26" s="1"/>
  <c r="AH15" i="26" s="1"/>
  <c r="AH7" i="25"/>
  <c r="AH9" i="25"/>
  <c r="AH11" i="25" s="1"/>
  <c r="AH13" i="25" s="1"/>
  <c r="G75" i="14"/>
  <c r="AI7" i="25" l="1"/>
  <c r="AI9" i="25"/>
  <c r="AI11" i="25" s="1"/>
  <c r="AI13" i="25" s="1"/>
  <c r="AI9" i="26"/>
  <c r="AI11" i="26"/>
  <c r="AI13" i="26" s="1"/>
  <c r="AI15" i="26" s="1"/>
  <c r="G76" i="14"/>
  <c r="AJ9" i="26" l="1"/>
  <c r="AJ11" i="26"/>
  <c r="AJ13" i="26" s="1"/>
  <c r="AJ15" i="26" s="1"/>
  <c r="AJ9" i="25"/>
  <c r="AJ11" i="25" s="1"/>
  <c r="AJ13" i="25" s="1"/>
  <c r="AJ7" i="25"/>
  <c r="G77" i="14"/>
  <c r="AK9" i="25" l="1"/>
  <c r="AK11" i="25" s="1"/>
  <c r="AK13" i="25" s="1"/>
  <c r="AK7" i="25"/>
  <c r="AK9" i="26"/>
  <c r="AK11" i="26"/>
  <c r="AK13" i="26" s="1"/>
  <c r="AK15" i="26" s="1"/>
  <c r="G78" i="14"/>
  <c r="AL9" i="26" l="1"/>
  <c r="AL11" i="26"/>
  <c r="AL13" i="26" s="1"/>
  <c r="AL15" i="26" s="1"/>
  <c r="AL9" i="25"/>
  <c r="AL11" i="25" s="1"/>
  <c r="AL13" i="25" s="1"/>
  <c r="AL7" i="25"/>
  <c r="G79" i="14"/>
  <c r="AM7" i="25" l="1"/>
  <c r="AM9" i="25"/>
  <c r="AM11" i="25" s="1"/>
  <c r="AM13" i="25" s="1"/>
  <c r="AM9" i="26"/>
  <c r="AM11" i="26"/>
  <c r="AM13" i="26" s="1"/>
  <c r="AM15" i="26" s="1"/>
  <c r="G80" i="14"/>
  <c r="AN9" i="26" l="1"/>
  <c r="AN11" i="26"/>
  <c r="AN13" i="26" s="1"/>
  <c r="AN15" i="26" s="1"/>
  <c r="AN9" i="25"/>
  <c r="AN11" i="25" s="1"/>
  <c r="AN13" i="25" s="1"/>
  <c r="AN7" i="25"/>
  <c r="G81" i="14"/>
  <c r="AO9" i="25" l="1"/>
  <c r="AO11" i="25" s="1"/>
  <c r="AO13" i="25" s="1"/>
  <c r="AO7" i="25"/>
  <c r="AO9" i="26"/>
  <c r="AO11" i="26"/>
  <c r="AO13" i="26" s="1"/>
  <c r="AO15" i="26" s="1"/>
  <c r="G82" i="14"/>
  <c r="AP9" i="26" l="1"/>
  <c r="AP11" i="26"/>
  <c r="AP13" i="26" s="1"/>
  <c r="AP15" i="26" s="1"/>
  <c r="AP9" i="25"/>
  <c r="AP11" i="25" s="1"/>
  <c r="AP13" i="25" s="1"/>
  <c r="AP7" i="25"/>
  <c r="G83" i="14"/>
  <c r="AQ9" i="25" l="1"/>
  <c r="AQ11" i="25" s="1"/>
  <c r="AQ13" i="25" s="1"/>
  <c r="AQ7" i="25"/>
  <c r="AQ9" i="26"/>
  <c r="AQ11" i="26"/>
  <c r="AQ13" i="26" s="1"/>
  <c r="AQ15" i="26" s="1"/>
  <c r="G84" i="14"/>
  <c r="G85" i="14" s="1"/>
  <c r="AR9" i="26" l="1"/>
  <c r="AR11" i="26"/>
  <c r="AR13" i="26" s="1"/>
  <c r="AR15" i="26" s="1"/>
  <c r="AR7" i="25"/>
  <c r="AR9" i="25"/>
  <c r="AR11" i="25" s="1"/>
  <c r="AR13" i="25" s="1"/>
  <c r="G86" i="14"/>
  <c r="AS9" i="25" l="1"/>
  <c r="AS11" i="25" s="1"/>
  <c r="AS13" i="25" s="1"/>
  <c r="AS7" i="25"/>
  <c r="AS9" i="26"/>
  <c r="AS11" i="26"/>
  <c r="AS13" i="26" s="1"/>
  <c r="AS15" i="26" s="1"/>
  <c r="E91" i="20"/>
  <c r="F91" i="20"/>
  <c r="G91" i="20"/>
  <c r="H91" i="20"/>
  <c r="I91" i="20"/>
  <c r="J91" i="20"/>
  <c r="K91" i="20"/>
  <c r="L91" i="20"/>
  <c r="M91" i="20"/>
  <c r="K27" i="23"/>
  <c r="AT7" i="25" l="1"/>
  <c r="AU9" i="25" s="1"/>
  <c r="AU11" i="25" s="1"/>
  <c r="AU13" i="25" s="1"/>
  <c r="AT9" i="25"/>
  <c r="AT11" i="25" s="1"/>
  <c r="AT13" i="25" s="1"/>
  <c r="AT9" i="26"/>
  <c r="AT11" i="26"/>
  <c r="AT13" i="26" s="1"/>
  <c r="AT15" i="26" s="1"/>
  <c r="L27" i="23"/>
  <c r="L28" i="23" s="1"/>
  <c r="L36" i="23" s="1"/>
  <c r="L37" i="23" s="1"/>
  <c r="F27" i="23"/>
  <c r="F28" i="23" s="1"/>
  <c r="F36" i="23" s="1"/>
  <c r="F37" i="23" s="1"/>
  <c r="M27" i="23"/>
  <c r="M28" i="23" s="1"/>
  <c r="M36" i="23" s="1"/>
  <c r="M37" i="23" s="1"/>
  <c r="J27" i="23"/>
  <c r="J28" i="23" s="1"/>
  <c r="J36" i="23" s="1"/>
  <c r="J37" i="23" s="1"/>
  <c r="I27" i="23"/>
  <c r="I28" i="23" s="1"/>
  <c r="I36" i="23" s="1"/>
  <c r="I37" i="23" s="1"/>
  <c r="H27" i="23"/>
  <c r="G27" i="23"/>
  <c r="E27" i="23"/>
  <c r="G86" i="20"/>
  <c r="F86" i="20"/>
  <c r="E86" i="20"/>
  <c r="J28" i="20"/>
  <c r="G28" i="20"/>
  <c r="M28" i="20"/>
  <c r="K28" i="20"/>
  <c r="I28" i="20"/>
  <c r="F28" i="20"/>
  <c r="E28" i="20"/>
  <c r="L28" i="20"/>
  <c r="H28" i="20"/>
  <c r="M86" i="20"/>
  <c r="L86" i="20"/>
  <c r="K86" i="20"/>
  <c r="J86" i="20"/>
  <c r="I86" i="20"/>
  <c r="H86" i="20"/>
  <c r="K28" i="23"/>
  <c r="K36" i="23" s="1"/>
  <c r="K37" i="23" s="1"/>
  <c r="A27" i="20"/>
  <c r="G15" i="25" l="1"/>
  <c r="G16" i="25" s="1"/>
  <c r="G17" i="25" s="1"/>
  <c r="AU9" i="26"/>
  <c r="AU11" i="26"/>
  <c r="AU13" i="26" s="1"/>
  <c r="AU15" i="26" s="1"/>
  <c r="G17" i="26" s="1"/>
  <c r="G18" i="26" s="1"/>
  <c r="G19" i="26" s="1"/>
  <c r="F29" i="23"/>
  <c r="J29" i="23"/>
  <c r="H28" i="23"/>
  <c r="H36" i="23" s="1"/>
  <c r="H37" i="23" s="1"/>
  <c r="M29" i="20"/>
  <c r="M37" i="20" s="1"/>
  <c r="M38" i="20" s="1"/>
  <c r="G28" i="23"/>
  <c r="G36" i="23" s="1"/>
  <c r="G37" i="23" s="1"/>
  <c r="E28" i="23"/>
  <c r="E36" i="23" s="1"/>
  <c r="E37" i="23" s="1"/>
  <c r="K29" i="23"/>
  <c r="I29" i="20"/>
  <c r="I37" i="20" s="1"/>
  <c r="I38" i="20" s="1"/>
  <c r="M29" i="23"/>
  <c r="K29" i="20"/>
  <c r="K37" i="20" s="1"/>
  <c r="K38" i="20" s="1"/>
  <c r="L29" i="20"/>
  <c r="L37" i="20" s="1"/>
  <c r="L38" i="20" s="1"/>
  <c r="G29" i="20"/>
  <c r="G37" i="20" s="1"/>
  <c r="G38" i="20" s="1"/>
  <c r="E29" i="20"/>
  <c r="E37" i="20" s="1"/>
  <c r="E38" i="20" s="1"/>
  <c r="H29" i="20"/>
  <c r="H37" i="20" s="1"/>
  <c r="H38" i="20" s="1"/>
  <c r="J29" i="20"/>
  <c r="J37" i="20" s="1"/>
  <c r="J38" i="20" s="1"/>
  <c r="F29" i="20"/>
  <c r="F37" i="20" s="1"/>
  <c r="F38" i="20" s="1"/>
  <c r="F78" i="23"/>
  <c r="F80" i="23" s="1"/>
  <c r="M38" i="23"/>
  <c r="M60" i="23" s="1"/>
  <c r="M78" i="23"/>
  <c r="M80" i="23" s="1"/>
  <c r="J78" i="23"/>
  <c r="J80" i="23" s="1"/>
  <c r="J38" i="23"/>
  <c r="J60" i="23" s="1"/>
  <c r="K38" i="23"/>
  <c r="K60" i="23" s="1"/>
  <c r="K78" i="23"/>
  <c r="K80" i="23" s="1"/>
  <c r="L29" i="23"/>
  <c r="I29" i="23"/>
  <c r="L38" i="23"/>
  <c r="L60" i="23" s="1"/>
  <c r="L78" i="23"/>
  <c r="L80" i="23" s="1"/>
  <c r="I78" i="23"/>
  <c r="I80" i="23" s="1"/>
  <c r="F81" i="20" l="1"/>
  <c r="F83" i="20" s="1"/>
  <c r="M81" i="20"/>
  <c r="M83" i="20" s="1"/>
  <c r="I81" i="20"/>
  <c r="I83" i="20" s="1"/>
  <c r="G29" i="23"/>
  <c r="H78" i="23"/>
  <c r="H80" i="23" s="1"/>
  <c r="H38" i="23"/>
  <c r="H60" i="23" s="1"/>
  <c r="G78" i="23"/>
  <c r="G80" i="23" s="1"/>
  <c r="I38" i="23"/>
  <c r="I60" i="23" s="1"/>
  <c r="E78" i="23"/>
  <c r="E80" i="23" s="1"/>
  <c r="H29" i="23"/>
  <c r="F38" i="23"/>
  <c r="F60" i="23" s="1"/>
  <c r="K30" i="20"/>
  <c r="L30" i="20"/>
  <c r="E30" i="20"/>
  <c r="H30" i="20"/>
  <c r="I30" i="20"/>
  <c r="M30" i="20"/>
  <c r="E29" i="23"/>
  <c r="G38" i="23"/>
  <c r="G60" i="23" s="1"/>
  <c r="F39" i="20"/>
  <c r="F61" i="20" s="1"/>
  <c r="M39" i="20"/>
  <c r="M61" i="20" s="1"/>
  <c r="G30" i="20"/>
  <c r="K81" i="20"/>
  <c r="K83" i="20" s="1"/>
  <c r="F30" i="20"/>
  <c r="H81" i="20"/>
  <c r="H83" i="20" s="1"/>
  <c r="H39" i="20"/>
  <c r="H61" i="20" s="1"/>
  <c r="L81" i="20"/>
  <c r="L83" i="20" s="1"/>
  <c r="L39" i="20"/>
  <c r="L61" i="20" s="1"/>
  <c r="G81" i="20"/>
  <c r="G83" i="20" s="1"/>
  <c r="G39" i="20"/>
  <c r="G61" i="20" s="1"/>
  <c r="I39" i="20"/>
  <c r="I61" i="20" s="1"/>
  <c r="J30" i="20"/>
  <c r="J39" i="20"/>
  <c r="J61" i="20" s="1"/>
  <c r="J81" i="20"/>
  <c r="J83" i="20" s="1"/>
  <c r="K39" i="20"/>
  <c r="K61" i="20" s="1"/>
  <c r="E81" i="20"/>
  <c r="E83" i="20" s="1"/>
  <c r="A25" i="20" s="1"/>
  <c r="D51" i="23" l="1" a="1"/>
  <c r="A22" i="23"/>
  <c r="D41" i="23"/>
  <c r="D42" i="23" s="1"/>
  <c r="E42" i="23" s="1"/>
  <c r="D25" i="23"/>
  <c r="D52" i="23" a="1"/>
  <c r="A23" i="23"/>
  <c r="D26" i="20"/>
  <c r="D52" i="20" a="1"/>
  <c r="D42" i="20"/>
  <c r="D43" i="20" s="1"/>
  <c r="A22" i="20"/>
  <c r="A26" i="23"/>
  <c r="F42" i="23" l="1"/>
  <c r="E44" i="23"/>
  <c r="E74" i="23" s="1"/>
  <c r="E81" i="23" s="1"/>
  <c r="G54" i="20"/>
  <c r="G62" i="20" s="1"/>
  <c r="E54" i="20"/>
  <c r="F54" i="20"/>
  <c r="F62" i="20" s="1"/>
  <c r="H54" i="20"/>
  <c r="H62" i="20" s="1"/>
  <c r="I54" i="20"/>
  <c r="I62" i="20" s="1"/>
  <c r="J54" i="20"/>
  <c r="J62" i="20" s="1"/>
  <c r="K54" i="20"/>
  <c r="K62" i="20" s="1"/>
  <c r="M54" i="20"/>
  <c r="M62" i="20" s="1"/>
  <c r="L54" i="20"/>
  <c r="L62" i="20" s="1"/>
  <c r="D31" i="23"/>
  <c r="D48" i="23"/>
  <c r="A25" i="23"/>
  <c r="D76" i="23"/>
  <c r="D32" i="20"/>
  <c r="A26" i="20"/>
  <c r="D49" i="20"/>
  <c r="D79" i="20"/>
  <c r="D28" i="20"/>
  <c r="D86" i="20"/>
  <c r="D27" i="23"/>
  <c r="A27" i="23" s="1"/>
  <c r="E43" i="20"/>
  <c r="G53" i="23"/>
  <c r="G61" i="23" s="1"/>
  <c r="G63" i="23" s="1"/>
  <c r="G70" i="23" s="1"/>
  <c r="H53" i="23"/>
  <c r="H61" i="23" s="1"/>
  <c r="H63" i="23" s="1"/>
  <c r="H70" i="23" s="1"/>
  <c r="E53" i="23"/>
  <c r="F53" i="23"/>
  <c r="F61" i="23" s="1"/>
  <c r="F63" i="23" s="1"/>
  <c r="F70" i="23" s="1"/>
  <c r="I53" i="23"/>
  <c r="I61" i="23" s="1"/>
  <c r="I63" i="23" s="1"/>
  <c r="I70" i="23" s="1"/>
  <c r="J53" i="23"/>
  <c r="J61" i="23" s="1"/>
  <c r="J63" i="23" s="1"/>
  <c r="J70" i="23" s="1"/>
  <c r="K53" i="23"/>
  <c r="K61" i="23" s="1"/>
  <c r="K63" i="23" s="1"/>
  <c r="K70" i="23" s="1"/>
  <c r="L53" i="23"/>
  <c r="L61" i="23" s="1"/>
  <c r="L63" i="23" s="1"/>
  <c r="L70" i="23" s="1"/>
  <c r="M53" i="23"/>
  <c r="M61" i="23" s="1"/>
  <c r="M63" i="23" s="1"/>
  <c r="M70" i="23" s="1"/>
  <c r="F43" i="20" l="1"/>
  <c r="E45" i="20"/>
  <c r="E77" i="20" s="1"/>
  <c r="E84" i="20" s="1"/>
  <c r="I64" i="20"/>
  <c r="I96" i="20" s="1"/>
  <c r="I98" i="20" s="1"/>
  <c r="I100" i="20" s="1"/>
  <c r="D49" i="23"/>
  <c r="D58" i="23" s="1"/>
  <c r="H64" i="20"/>
  <c r="H96" i="20" s="1"/>
  <c r="H98" i="20" s="1"/>
  <c r="H100" i="20" s="1"/>
  <c r="J64" i="20"/>
  <c r="J96" i="20" s="1"/>
  <c r="J98" i="20" s="1"/>
  <c r="J100" i="20" s="1"/>
  <c r="F64" i="20"/>
  <c r="F96" i="20" s="1"/>
  <c r="F98" i="20" s="1"/>
  <c r="F100" i="20" s="1"/>
  <c r="D28" i="23"/>
  <c r="D29" i="23" s="1"/>
  <c r="A29" i="23" s="1"/>
  <c r="D50" i="20"/>
  <c r="D59" i="20" s="1"/>
  <c r="L64" i="20"/>
  <c r="L96" i="20" s="1"/>
  <c r="L98" i="20" s="1"/>
  <c r="L100" i="20" s="1"/>
  <c r="G64" i="20"/>
  <c r="G96" i="20" s="1"/>
  <c r="G98" i="20" s="1"/>
  <c r="G100" i="20" s="1"/>
  <c r="D77" i="23"/>
  <c r="D57" i="23"/>
  <c r="M64" i="20"/>
  <c r="M96" i="20" s="1"/>
  <c r="M98" i="20" s="1"/>
  <c r="M100" i="20" s="1"/>
  <c r="D29" i="20"/>
  <c r="A28" i="20"/>
  <c r="D58" i="20"/>
  <c r="D80" i="20"/>
  <c r="D91" i="20"/>
  <c r="K64" i="20"/>
  <c r="K96" i="20" s="1"/>
  <c r="K98" i="20" s="1"/>
  <c r="K100" i="20" s="1"/>
  <c r="G42" i="23"/>
  <c r="F44" i="23"/>
  <c r="F74" i="23" s="1"/>
  <c r="F81" i="23" s="1"/>
  <c r="I66" i="20" l="1"/>
  <c r="I88" i="20"/>
  <c r="H66" i="20"/>
  <c r="H88" i="20"/>
  <c r="J66" i="20"/>
  <c r="J88" i="20"/>
  <c r="F66" i="20"/>
  <c r="F88" i="20"/>
  <c r="L66" i="20"/>
  <c r="L88" i="20"/>
  <c r="G66" i="20"/>
  <c r="G88" i="20"/>
  <c r="M66" i="20"/>
  <c r="M88" i="20"/>
  <c r="K66" i="20"/>
  <c r="K88" i="20"/>
  <c r="D51" i="20"/>
  <c r="D54" i="20" s="1"/>
  <c r="D50" i="23"/>
  <c r="D53" i="23" s="1"/>
  <c r="H42" i="23"/>
  <c r="G44" i="23"/>
  <c r="G74" i="23" s="1"/>
  <c r="G81" i="23" s="1"/>
  <c r="A28" i="23"/>
  <c r="D60" i="20"/>
  <c r="D37" i="20"/>
  <c r="A29" i="20"/>
  <c r="D59" i="23"/>
  <c r="D36" i="23"/>
  <c r="A36" i="23" s="1"/>
  <c r="D30" i="20"/>
  <c r="A30" i="20" s="1"/>
  <c r="G43" i="20"/>
  <c r="F45" i="20"/>
  <c r="F77" i="20" s="1"/>
  <c r="F84" i="20" s="1"/>
  <c r="D37" i="23" l="1"/>
  <c r="D78" i="23" s="1"/>
  <c r="D80" i="23" s="1"/>
  <c r="A37" i="20"/>
  <c r="D38" i="20"/>
  <c r="H43" i="20"/>
  <c r="G45" i="20"/>
  <c r="G77" i="20" s="1"/>
  <c r="G84" i="20" s="1"/>
  <c r="I42" i="23"/>
  <c r="H44" i="23"/>
  <c r="H74" i="23" s="1"/>
  <c r="H81" i="23" s="1"/>
  <c r="D44" i="23" l="1"/>
  <c r="D74" i="23" s="1"/>
  <c r="D81" i="23" s="1"/>
  <c r="D38" i="23"/>
  <c r="D60" i="23" s="1"/>
  <c r="D61" i="23" s="1"/>
  <c r="D63" i="23" s="1"/>
  <c r="D70" i="23" s="1"/>
  <c r="E38" i="23"/>
  <c r="E60" i="23" s="1"/>
  <c r="E61" i="23" s="1"/>
  <c r="E63" i="23" s="1"/>
  <c r="E70" i="23" s="1"/>
  <c r="J42" i="23"/>
  <c r="I44" i="23"/>
  <c r="I74" i="23" s="1"/>
  <c r="I81" i="23" s="1"/>
  <c r="I43" i="20"/>
  <c r="H45" i="20"/>
  <c r="H77" i="20" s="1"/>
  <c r="H84" i="20" s="1"/>
  <c r="D81" i="20"/>
  <c r="D83" i="20" s="1"/>
  <c r="D39" i="20"/>
  <c r="D61" i="20" s="1"/>
  <c r="D62" i="20" s="1"/>
  <c r="E39" i="20"/>
  <c r="E61" i="20" s="1"/>
  <c r="E62" i="20" s="1"/>
  <c r="D45" i="20"/>
  <c r="D77" i="20" s="1"/>
  <c r="D84" i="20" s="1"/>
  <c r="C67" i="23" l="1"/>
  <c r="C66" i="23"/>
  <c r="E64" i="20"/>
  <c r="E96" i="20" s="1"/>
  <c r="E98" i="20" s="1"/>
  <c r="E100" i="20" s="1"/>
  <c r="D64" i="20"/>
  <c r="J43" i="20"/>
  <c r="I45" i="20"/>
  <c r="I77" i="20" s="1"/>
  <c r="I84" i="20" s="1"/>
  <c r="K42" i="23"/>
  <c r="J44" i="23"/>
  <c r="J74" i="23" s="1"/>
  <c r="J81" i="23" s="1"/>
  <c r="D88" i="20" l="1"/>
  <c r="D96" i="20"/>
  <c r="D98" i="20" s="1"/>
  <c r="D100" i="20" s="1"/>
  <c r="C103" i="20" s="1"/>
  <c r="E66" i="20"/>
  <c r="E88" i="20"/>
  <c r="L42" i="23"/>
  <c r="K44" i="23"/>
  <c r="K74" i="23" s="1"/>
  <c r="K81" i="23" s="1"/>
  <c r="K43" i="20"/>
  <c r="J45" i="20"/>
  <c r="J77" i="20" s="1"/>
  <c r="J84" i="20" s="1"/>
  <c r="D66" i="20"/>
  <c r="C89" i="20" l="1"/>
  <c r="C71" i="20"/>
  <c r="L43" i="20"/>
  <c r="K45" i="20"/>
  <c r="K77" i="20" s="1"/>
  <c r="K84" i="20" s="1"/>
  <c r="M42" i="23"/>
  <c r="L44" i="23"/>
  <c r="L74" i="23" s="1"/>
  <c r="L81" i="23" s="1"/>
  <c r="M43" i="20" l="1"/>
  <c r="L45" i="20"/>
  <c r="L77" i="20" s="1"/>
  <c r="L84" i="20" s="1"/>
  <c r="P42" i="23"/>
  <c r="P43" i="23" s="1"/>
  <c r="P44" i="23" s="1"/>
  <c r="P46" i="23" s="1"/>
  <c r="P48" i="23" s="1"/>
  <c r="N63" i="23" s="1"/>
  <c r="N70" i="23" s="1"/>
  <c r="C71" i="23" s="1"/>
  <c r="M44" i="23"/>
  <c r="M74" i="23" s="1"/>
  <c r="M81" i="23" s="1"/>
  <c r="P43" i="20" l="1"/>
  <c r="P44" i="20" s="1"/>
  <c r="P45" i="20" s="1"/>
  <c r="P47" i="20" s="1"/>
  <c r="P49" i="20" s="1"/>
  <c r="N64" i="20" s="1"/>
  <c r="M45" i="20"/>
  <c r="M77" i="20" s="1"/>
  <c r="M84" i="20" s="1"/>
  <c r="N66" i="20" l="1"/>
  <c r="C74" i="20" s="1"/>
  <c r="C70" i="20"/>
  <c r="C68" i="20"/>
  <c r="C69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SOFIA NANCLARES RUA</author>
  </authors>
  <commentList>
    <comment ref="F13" authorId="0" shapeId="0" xr:uid="{B80162C3-8E4A-47BD-9DE9-1222B9866A56}">
      <text>
        <r>
          <rPr>
            <b/>
            <sz val="9"/>
            <color rgb="FF000000"/>
            <rFont val="Tahoma"/>
            <family val="2"/>
          </rPr>
          <t>ANA SOFIA NANCLARES RUA: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Se utilizó el IBR Overnight publicado por el Banco de la República de 10,516%, por ser la referencia oficial vigente al momento del análisis.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<sst xmlns="http://schemas.openxmlformats.org/spreadsheetml/2006/main" count="681" uniqueCount="344">
  <si>
    <r>
      <t xml:space="preserve">Según el estatuto tributario de los impuestos administrados por la dirección general de impuestos nacionales
artículo 137, </t>
    </r>
    <r>
      <rPr>
        <b/>
        <sz val="12"/>
        <color theme="1"/>
        <rFont val="Aptos Narrow"/>
        <family val="2"/>
        <scheme val="minor"/>
      </rPr>
      <t>hay un límite a la deducción por depreciación</t>
    </r>
    <r>
      <rPr>
        <sz val="12"/>
        <color theme="1"/>
        <rFont val="Aptos Narrow"/>
        <family val="2"/>
        <scheme val="minor"/>
      </rPr>
      <t xml:space="preserve">.
Para </t>
    </r>
    <r>
      <rPr>
        <b/>
        <sz val="12"/>
        <color theme="1"/>
        <rFont val="Aptos Narrow"/>
        <family val="2"/>
        <scheme val="minor"/>
      </rPr>
      <t>construcciones y edificaciones</t>
    </r>
    <r>
      <rPr>
        <sz val="12"/>
        <color theme="1"/>
        <rFont val="Aptos Narrow"/>
        <family val="2"/>
        <scheme val="minor"/>
      </rPr>
      <t xml:space="preserve"> (obras civiles), </t>
    </r>
    <r>
      <rPr>
        <b/>
        <sz val="12"/>
        <color theme="1"/>
        <rFont val="Aptos Narrow"/>
        <family val="2"/>
        <scheme val="minor"/>
      </rPr>
      <t>la tasa de depreciación fiscal anual es del 2.22%</t>
    </r>
    <r>
      <rPr>
        <sz val="12"/>
        <color theme="1"/>
        <rFont val="Aptos Narrow"/>
        <family val="2"/>
        <scheme val="minor"/>
      </rPr>
      <t xml:space="preserve">, para
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,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 y para </t>
    </r>
    <r>
      <rPr>
        <b/>
        <sz val="12"/>
        <color theme="1"/>
        <rFont val="Aptos Narrow"/>
        <family val="2"/>
        <scheme val="minor"/>
      </rPr>
      <t>muebles y enseres</t>
    </r>
    <r>
      <rPr>
        <sz val="12"/>
        <color theme="1"/>
        <rFont val="Aptos Narrow"/>
        <family val="2"/>
        <scheme val="minor"/>
      </rPr>
      <t xml:space="preserve">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. Entonces como la tasa se calcula como
</t>
    </r>
    <r>
      <rPr>
        <b/>
        <sz val="12"/>
        <color theme="1"/>
        <rFont val="Aptos Narrow"/>
        <family val="2"/>
        <scheme val="minor"/>
      </rPr>
      <t>tasa=1/vida útil</t>
    </r>
    <r>
      <rPr>
        <sz val="12"/>
        <color theme="1"/>
        <rFont val="Aptos Narrow"/>
        <family val="2"/>
        <scheme val="minor"/>
      </rPr>
      <t xml:space="preserve">, se puede despejar la vida útil como 1/tasa. Para 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 la tasa máxima es 10%, por lo que 1/0.1 = </t>
    </r>
    <r>
      <rPr>
        <b/>
        <sz val="12"/>
        <color theme="1"/>
        <rFont val="Aptos Narrow"/>
        <family val="2"/>
        <scheme val="minor"/>
      </rPr>
      <t>10 años es la vida útil mínima que se puede ponerle a estos activos</t>
    </r>
    <r>
      <rPr>
        <sz val="12"/>
        <color theme="1"/>
        <rFont val="Aptos Narrow"/>
        <family val="2"/>
        <scheme val="minor"/>
      </rPr>
      <t>. Dado que
20 años son más que 10 años, es totalmente viable poner 20 años como vida útil a la maquinaria y equipo. Esta misma vida útil se puede poner al montaje y el transporte de equipos ya que son costos de puesta en marcha que se capitalizan
como parte del costo de la maquinaria. Para los muebles y enseres y obras civiles, utilizaremos la vida útil mínima.</t>
    </r>
  </si>
  <si>
    <t>https://leyes.co/se_expide_el_estatuto_tributario_de_los_impuestos_administrados_por_la_direccion_general_de_impuestos_nacionales/137.htm</t>
  </si>
  <si>
    <t>Inversión en Activos Fijos Inicial</t>
  </si>
  <si>
    <t>Inversión inicial</t>
  </si>
  <si>
    <t>millones de COP</t>
  </si>
  <si>
    <t>Tasa máxima</t>
  </si>
  <si>
    <t>Vida útil</t>
  </si>
  <si>
    <t>Nota</t>
  </si>
  <si>
    <t>Maquinaria y Equipos</t>
  </si>
  <si>
    <t>Sacado de la nota 13 del PDF</t>
  </si>
  <si>
    <t>Muebles y Enseres</t>
  </si>
  <si>
    <t>Vida útil mínima</t>
  </si>
  <si>
    <t>Obras Civiles</t>
  </si>
  <si>
    <t>Montaje</t>
  </si>
  <si>
    <t>N/A</t>
  </si>
  <si>
    <t>Transporte de Equipos</t>
  </si>
  <si>
    <t>Total Capex Activos Fijos</t>
  </si>
  <si>
    <t>¿Costo hundido?</t>
  </si>
  <si>
    <t>Estudio de Mercado</t>
  </si>
  <si>
    <t>SI</t>
  </si>
  <si>
    <t>Estudios Técnicos</t>
  </si>
  <si>
    <t>Costo Avalúo Bodega</t>
  </si>
  <si>
    <t>Total</t>
  </si>
  <si>
    <t>Tasa impositiva Colombia</t>
  </si>
  <si>
    <t>Valor en libros  de la bodega</t>
  </si>
  <si>
    <t>millones</t>
  </si>
  <si>
    <t>Pagina 4</t>
  </si>
  <si>
    <t>Canon arrendamiento anual (10% VM)</t>
  </si>
  <si>
    <t>Pagina 4 Nota 9</t>
  </si>
  <si>
    <t>Valor de venta esperado</t>
  </si>
  <si>
    <t>Pagina 5</t>
  </si>
  <si>
    <t>Mantenimiento sobre activos</t>
  </si>
  <si>
    <t>de los ingresos</t>
  </si>
  <si>
    <t>Costo de materia prima</t>
  </si>
  <si>
    <t>la tonelada</t>
  </si>
  <si>
    <t>Crecimiento real materia prima</t>
  </si>
  <si>
    <t>Renovación (overhaul) AÑO 5</t>
  </si>
  <si>
    <t>del valor inicial de la adquisición</t>
  </si>
  <si>
    <t>Pagina 5 Nota 13</t>
  </si>
  <si>
    <t>Porcentaje de seguro</t>
  </si>
  <si>
    <t>sobre el valor inicial de los activos</t>
  </si>
  <si>
    <t>Pagina 6</t>
  </si>
  <si>
    <t>Gastos operacionales variables</t>
  </si>
  <si>
    <t>sobre los ingresos</t>
  </si>
  <si>
    <t>Comisiones</t>
  </si>
  <si>
    <t>CXC (días)</t>
  </si>
  <si>
    <t xml:space="preserve">Pagina 7 </t>
  </si>
  <si>
    <t>CXP (días)</t>
  </si>
  <si>
    <t>Precio de venta</t>
  </si>
  <si>
    <t>Crecimiento real anual</t>
  </si>
  <si>
    <t>Política de crédito sugerido por área comercial</t>
  </si>
  <si>
    <t>días en vez de 95</t>
  </si>
  <si>
    <t>Aumento esperado en ventas atado a la política sugerida</t>
  </si>
  <si>
    <t>%E</t>
  </si>
  <si>
    <t>porcentaje de equity</t>
  </si>
  <si>
    <t>%D</t>
  </si>
  <si>
    <t>porcentaje de deuda</t>
  </si>
  <si>
    <t>Cargo</t>
  </si>
  <si>
    <t>No</t>
  </si>
  <si>
    <t>Salario / Mes
(millones de COP)</t>
  </si>
  <si>
    <t>Salario anual (millones de COP)</t>
  </si>
  <si>
    <t>¿Es parte de la producción?</t>
  </si>
  <si>
    <t>Gerente del Proyecto</t>
  </si>
  <si>
    <t>NO</t>
  </si>
  <si>
    <t>Salario anual de nómina operativa</t>
  </si>
  <si>
    <t>Jefe de Producción</t>
  </si>
  <si>
    <t>Salario anual de nómina administrativa</t>
  </si>
  <si>
    <t>Secretaria</t>
  </si>
  <si>
    <t>Director Financiero</t>
  </si>
  <si>
    <t>Coordinador de Gestión Humana</t>
  </si>
  <si>
    <t>Contador</t>
  </si>
  <si>
    <t>Ingeniero de mantenimiento</t>
  </si>
  <si>
    <t>Analista de Gestión Humana</t>
  </si>
  <si>
    <t>Auxiliares operativos</t>
  </si>
  <si>
    <t>Auxiliar administrativo</t>
  </si>
  <si>
    <t>Auxiliar contable</t>
  </si>
  <si>
    <t>Jefe de Salud y Seguridad en el trabajo</t>
  </si>
  <si>
    <t>Auxiliar Salud y Seguridad en el trabajo</t>
  </si>
  <si>
    <t>Asesores comerciales</t>
  </si>
  <si>
    <t>Personal de vigilancia</t>
  </si>
  <si>
    <t>Factor salarial</t>
  </si>
  <si>
    <r>
      <t xml:space="preserve">Nota: este factor salarial se usa para saber cuánto cobrarle al cliente por hora/mes de un profesional, como no estamos vendiendo tiempo de personas y estamos vendiendo toneladas de aluminio, </t>
    </r>
    <r>
      <rPr>
        <b/>
        <sz val="12"/>
        <color theme="1"/>
        <rFont val="Aptos Narrow"/>
        <family val="2"/>
        <scheme val="minor"/>
      </rPr>
      <t>este valor no aplica</t>
    </r>
  </si>
  <si>
    <t xml:space="preserve">Pagina 6_Nota 15 = Incremento salarial con base en la inflación al cierre del año inmediatamente anterior </t>
  </si>
  <si>
    <t>Mantenimiento de bodega</t>
  </si>
  <si>
    <t>Multa por quitar arrendadores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</si>
  <si>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</si>
  <si>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</si>
  <si>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</si>
  <si>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</si>
  <si>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</si>
  <si>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</si>
  <si>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</si>
  <si>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</si>
  <si>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</si>
  <si>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</si>
  <si>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Consecutivo</t>
  </si>
  <si>
    <t>Inflación</t>
  </si>
  <si>
    <t>Canón</t>
  </si>
  <si>
    <t>Mantenimiento</t>
  </si>
  <si>
    <t>Impuestos y gastos fijos</t>
  </si>
  <si>
    <t>Factor de descuento</t>
  </si>
  <si>
    <t>Flujo de caja descontado</t>
  </si>
  <si>
    <t>Valor presente</t>
  </si>
  <si>
    <t>Multa considerada</t>
  </si>
  <si>
    <t>Estudio de mercado</t>
  </si>
  <si>
    <t>millones (COP)</t>
  </si>
  <si>
    <t>Estudios técnicos</t>
  </si>
  <si>
    <t>Avalúo comercial</t>
  </si>
  <si>
    <t>Datos</t>
  </si>
  <si>
    <t>Fuente</t>
  </si>
  <si>
    <t>Banco de Bogotá</t>
  </si>
  <si>
    <t>DTF TA</t>
  </si>
  <si>
    <t>https://www.grupoaval.com/wps/portal/grupo-aval/aval/portal-financiero/indicadores/tasas-interes</t>
  </si>
  <si>
    <t>Plazo 10 años</t>
  </si>
  <si>
    <t>Tasa TA</t>
  </si>
  <si>
    <t>Tasa (DTF + 10.5% TA)</t>
  </si>
  <si>
    <t>Período trimestre anticipado</t>
  </si>
  <si>
    <t>Pago de interés trimestral</t>
  </si>
  <si>
    <t>Período trimestre vencido</t>
  </si>
  <si>
    <t>Amortización</t>
  </si>
  <si>
    <t>Nominal anual trimestre vencido</t>
  </si>
  <si>
    <t>1 año de gracia para pago de capital</t>
  </si>
  <si>
    <t>Efectivo anual</t>
  </si>
  <si>
    <t>Amortizaciones de capitales anuales (10% a partir del año 2 y 20% al vencimiento)</t>
  </si>
  <si>
    <t>Gastos iniciales (6% sobre el valor del crédito descontado del valor desembolsado)</t>
  </si>
  <si>
    <t>Banco BBVA</t>
  </si>
  <si>
    <t>IBR</t>
  </si>
  <si>
    <t>https://www.banrep.gov.co/es/glosario/indicador-bancario-referencia-ibr</t>
  </si>
  <si>
    <t>Tasa (IBR + 10.5% TV)</t>
  </si>
  <si>
    <t>Tasa TV (IBR + 10,5%)</t>
  </si>
  <si>
    <t>Pago de intereses trimestral</t>
  </si>
  <si>
    <t>Pago: cuota fija (2 años de gracia de pago de capital)</t>
  </si>
  <si>
    <t>Gastos iniciales (5.5% sobre el valor del crédito descontado del valor desembolsado)</t>
  </si>
  <si>
    <t>Emisión de bonos corporativos</t>
  </si>
  <si>
    <t>Tasa: IPC + 10.5 E.A.</t>
  </si>
  <si>
    <t>Pago intereses: semestral</t>
  </si>
  <si>
    <t>Pago de capital: al vencimiento (bullet)</t>
  </si>
  <si>
    <t>Gastos emisión y estructuración (25% sobre el valor de emisión)</t>
  </si>
  <si>
    <t>ESTRUCTURA DE CAPITAL BASE</t>
  </si>
  <si>
    <t>Concepto</t>
  </si>
  <si>
    <t>Valor</t>
  </si>
  <si>
    <t>Inversión Total</t>
  </si>
  <si>
    <t>% Deuda</t>
  </si>
  <si>
    <t>Valor Crédito</t>
  </si>
  <si>
    <t>Banco Bogotá</t>
  </si>
  <si>
    <t>BBVA</t>
  </si>
  <si>
    <t>Bonos</t>
  </si>
  <si>
    <t>Plazo (años)</t>
  </si>
  <si>
    <t>Tasa base</t>
  </si>
  <si>
    <t>DTF+10.5%</t>
  </si>
  <si>
    <t>IBR+10.5%</t>
  </si>
  <si>
    <t>IPC+10.5%</t>
  </si>
  <si>
    <t>EA equivalente</t>
  </si>
  <si>
    <t>X</t>
  </si>
  <si>
    <t>Pago intereses</t>
  </si>
  <si>
    <t>Trimestral</t>
  </si>
  <si>
    <t>Semestral</t>
  </si>
  <si>
    <t>Gracia capital</t>
  </si>
  <si>
    <t>1 año</t>
  </si>
  <si>
    <t>2 años</t>
  </si>
  <si>
    <t>No aplica</t>
  </si>
  <si>
    <t>Forma pago capital</t>
  </si>
  <si>
    <t>Cuota fija</t>
  </si>
  <si>
    <t>Bullet</t>
  </si>
  <si>
    <t>Gastos iniciales</t>
  </si>
  <si>
    <t>5,5%</t>
  </si>
  <si>
    <t>Desembolso neto</t>
  </si>
  <si>
    <t>Intereses totales</t>
  </si>
  <si>
    <t>Costo efectivo</t>
  </si>
  <si>
    <t>BANCO DE BOGOTA</t>
  </si>
  <si>
    <t>Período</t>
  </si>
  <si>
    <t>Fecha</t>
  </si>
  <si>
    <t>Saldo Inicial</t>
  </si>
  <si>
    <t>Interés</t>
  </si>
  <si>
    <t>Capital</t>
  </si>
  <si>
    <t>Cuota</t>
  </si>
  <si>
    <t>Saldo Final</t>
  </si>
  <si>
    <t>Proyección de Inflación Colombia a 10 Años (2026-2035)</t>
  </si>
  <si>
    <t>Párametro</t>
  </si>
  <si>
    <t>Tes TF</t>
  </si>
  <si>
    <t>https://www.grupoaval.com/wps/portal/grupo-aval/aval/portal-financiero/renta-fija/tes/curva-rentabilidad</t>
  </si>
  <si>
    <t>Tes UVR</t>
  </si>
  <si>
    <t xml:space="preserve">1. https://www.grupoaval.com/wps/portal/grupo-aval/aval/portal-financiero/renta-fija/tes/datos-historicos </t>
  </si>
  <si>
    <t>2. https://www.bvc.com.co/renta-fija-deuda-publica-segmento-publico/tuvt11170327?tab=resumen</t>
  </si>
  <si>
    <t>3. https://www.irc.gov.co/440</t>
  </si>
  <si>
    <t>Año</t>
  </si>
  <si>
    <t>Inflación proyectada</t>
  </si>
  <si>
    <t xml:space="preserve">Nota: para el año 2026 se trabaja con la inflación reportada en mayo del 2026, para los años 2028, 2030, 2032 y 2034 </t>
  </si>
  <si>
    <t>se hace una interpolación simple con respecto al año anterior y siguiente.</t>
  </si>
  <si>
    <t>Fuente:  https://www.irc.gov.co/440</t>
  </si>
  <si>
    <t>Plazo</t>
  </si>
  <si>
    <t>Trimestre</t>
  </si>
  <si>
    <t>Monto</t>
  </si>
  <si>
    <t>MMCOP</t>
  </si>
  <si>
    <t>No días / mes</t>
  </si>
  <si>
    <t>Indexación</t>
  </si>
  <si>
    <t>%</t>
  </si>
  <si>
    <t>DTF T.A.</t>
  </si>
  <si>
    <t>Tasa periódica</t>
  </si>
  <si>
    <t>Spread T.A.</t>
  </si>
  <si>
    <t>Saldo</t>
  </si>
  <si>
    <t>Frec. Pago Int</t>
  </si>
  <si>
    <t>Trim</t>
  </si>
  <si>
    <t>Desembolso</t>
  </si>
  <si>
    <t>Pago a capital</t>
  </si>
  <si>
    <t>Período de gracia</t>
  </si>
  <si>
    <t>años</t>
  </si>
  <si>
    <t>Pago capital</t>
  </si>
  <si>
    <t>Servicio deuda</t>
  </si>
  <si>
    <t>DTA T.A.</t>
  </si>
  <si>
    <t>FC</t>
  </si>
  <si>
    <t>Spread</t>
  </si>
  <si>
    <t>Tasa nominal anual trimestre anticipada (NATA)</t>
  </si>
  <si>
    <t>Tasa periódica trimestre vencido</t>
  </si>
  <si>
    <t>Tasa periódica trimestre anticipada (PTA)</t>
  </si>
  <si>
    <t>Tasa NATV</t>
  </si>
  <si>
    <t>Tasa periodica trimestre vencida (PTV)</t>
  </si>
  <si>
    <t>Tasa E.A. (all-in cost)</t>
  </si>
  <si>
    <t>Tasa nominal anual trimestre vencido (NATV)</t>
  </si>
  <si>
    <t>Spread T.V.</t>
  </si>
  <si>
    <t>IBR 3M</t>
  </si>
  <si>
    <t>Semestre</t>
  </si>
  <si>
    <t>IPC</t>
  </si>
  <si>
    <t>Spread E.A.</t>
  </si>
  <si>
    <t>Tasa E.A.</t>
  </si>
  <si>
    <t>RESUMEN ANUAL</t>
  </si>
  <si>
    <t>Cupones</t>
  </si>
  <si>
    <t>Amort. Principal</t>
  </si>
  <si>
    <t>Pago Total</t>
  </si>
  <si>
    <t>Deuda</t>
  </si>
  <si>
    <t>TOTAL</t>
  </si>
  <si>
    <t>Tasa libre de riesgo (Rf)</t>
  </si>
  <si>
    <t>https://www.bloomberg.com/markets/rates-bonds/government-bonds/us</t>
  </si>
  <si>
    <t>Retorno esperado del mercado</t>
  </si>
  <si>
    <t>Equity Risk Premium</t>
  </si>
  <si>
    <t>Beta de la empresa apalancado (βL)</t>
  </si>
  <si>
    <t>Metales y minería</t>
  </si>
  <si>
    <t>D/E sector</t>
  </si>
  <si>
    <t>Beta de la empresa desapalancado (βU)</t>
  </si>
  <si>
    <t>Calculado</t>
  </si>
  <si>
    <t>Beta del sector desapalancado (βU)</t>
  </si>
  <si>
    <t>Damodaran, Metales y minería</t>
  </si>
  <si>
    <t xml:space="preserve">D/E ratio </t>
  </si>
  <si>
    <t>(10%D / 90%E)</t>
  </si>
  <si>
    <t>Beta reapalancado a la estructura del proyecto (βLproyecto)</t>
  </si>
  <si>
    <t>Bono Yankee_TES Globales de Colombia en USD a 10 años</t>
  </si>
  <si>
    <t>https://www.grupoaval.com/wps/portal/grupo-aval/aval/portal-financiero/renta-fija/yankees</t>
  </si>
  <si>
    <t>Riesgo país (Rp)</t>
  </si>
  <si>
    <t>TES de Colombia en COP a 10 años</t>
  </si>
  <si>
    <t>Devaluación esperada</t>
  </si>
  <si>
    <t>Ke_USD</t>
  </si>
  <si>
    <t>Ke_COP</t>
  </si>
  <si>
    <t>Kd_COP</t>
  </si>
  <si>
    <t>WACC</t>
  </si>
  <si>
    <t>Detalle</t>
  </si>
  <si>
    <t>Posible renovación total</t>
  </si>
  <si>
    <t>Página 5, nota 13</t>
  </si>
  <si>
    <t>Sobre el activo fijo "maquina"</t>
  </si>
  <si>
    <t>Genera nueva depreciacion desde el año 5</t>
  </si>
  <si>
    <t>Seguro en primeros 5 años</t>
  </si>
  <si>
    <t>Seguro en segundos 5 años</t>
  </si>
  <si>
    <t>Año 0</t>
  </si>
  <si>
    <t>Tasa de impuestos</t>
  </si>
  <si>
    <t>Precio</t>
  </si>
  <si>
    <t>Costo</t>
  </si>
  <si>
    <t>"+93%"</t>
  </si>
  <si>
    <t>Cantidades</t>
  </si>
  <si>
    <t xml:space="preserve">ESTADO DE RESULTADOS </t>
  </si>
  <si>
    <t>Año 11</t>
  </si>
  <si>
    <t>Ingresos operacionales</t>
  </si>
  <si>
    <t>Costo de ventas</t>
  </si>
  <si>
    <t>Costo de nómina asociada a la operación</t>
  </si>
  <si>
    <t>Costo de mantenimiento</t>
  </si>
  <si>
    <t>Utilidad bruta</t>
  </si>
  <si>
    <t>Costos de nómina administrativos</t>
  </si>
  <si>
    <t>Gastos operacionales (variable)</t>
  </si>
  <si>
    <t>Depreciación</t>
  </si>
  <si>
    <t>Gastos por seguro</t>
  </si>
  <si>
    <t>EBIT</t>
  </si>
  <si>
    <t>Gastos financieros (intereses)</t>
  </si>
  <si>
    <t>EBT</t>
  </si>
  <si>
    <t>Provisión de impuestos</t>
  </si>
  <si>
    <t>Utilidad neta</t>
  </si>
  <si>
    <t>EBITDA</t>
  </si>
  <si>
    <t>CXC</t>
  </si>
  <si>
    <t>KTO</t>
  </si>
  <si>
    <t>CXP</t>
  </si>
  <si>
    <t>Impuestos por pagar</t>
  </si>
  <si>
    <t>KTNO</t>
  </si>
  <si>
    <t>Proyección venta de activos</t>
  </si>
  <si>
    <t>Δ KTNO</t>
  </si>
  <si>
    <t>Costo de desmantelamiento</t>
  </si>
  <si>
    <t>Tasa de impuesto por ganancia ocasional</t>
  </si>
  <si>
    <t>PPE (Propiedades, Planta y Equipo) Bruta</t>
  </si>
  <si>
    <t>Depreciación acumulada</t>
  </si>
  <si>
    <t>Valor en venta esperado</t>
  </si>
  <si>
    <t>PPE Neta</t>
  </si>
  <si>
    <t>Valor en libros</t>
  </si>
  <si>
    <t xml:space="preserve">Capital Invertido en la operación </t>
  </si>
  <si>
    <t>Impuesto por ganancia ocasional</t>
  </si>
  <si>
    <t>Flujo de caja por venta del activo</t>
  </si>
  <si>
    <t xml:space="preserve">FLUJO DE CAJA </t>
  </si>
  <si>
    <t>Disposición final</t>
  </si>
  <si>
    <t>Valor de salvamento</t>
  </si>
  <si>
    <t>(-) Impuestos operativos</t>
  </si>
  <si>
    <t>NOPAT</t>
  </si>
  <si>
    <t>Depreciaciones</t>
  </si>
  <si>
    <t>Amortizaciones</t>
  </si>
  <si>
    <t>Flujo de caja bruto</t>
  </si>
  <si>
    <t>(-) ΔKTNO</t>
  </si>
  <si>
    <t>Flujo de caja operativo</t>
  </si>
  <si>
    <t>(-) CAPEX</t>
  </si>
  <si>
    <t>FCL (Unlevered cash flow)</t>
  </si>
  <si>
    <t>FCL descontado</t>
  </si>
  <si>
    <t>VPN del Proyecto</t>
  </si>
  <si>
    <t>VPN del Proyecto asumiendo multa</t>
  </si>
  <si>
    <t>TIR Modificada</t>
  </si>
  <si>
    <t xml:space="preserve">PAYBACK Ajustado </t>
  </si>
  <si>
    <t>FD</t>
  </si>
  <si>
    <t>FCL Descontado</t>
  </si>
  <si>
    <t>Profitability Index</t>
  </si>
  <si>
    <t>ROIC</t>
  </si>
  <si>
    <t>Margen bruto</t>
  </si>
  <si>
    <t>Margen EBIT</t>
  </si>
  <si>
    <t>Margen EBITDA</t>
  </si>
  <si>
    <t>Margen KTNO (Productividad del capital de trabajo)</t>
  </si>
  <si>
    <t>Palanca de crecimiento</t>
  </si>
  <si>
    <t>EVA</t>
  </si>
  <si>
    <t>Razón de cobertura de intereses (EBIT / gastos financieros)</t>
  </si>
  <si>
    <t>Servicio a la deuda</t>
  </si>
  <si>
    <t>Debt Service Coverage Ratio (FCL / Servicio a la deuda)</t>
  </si>
  <si>
    <t>Apalancamiento financiero (Deuda / EBITDA)</t>
  </si>
  <si>
    <t>Flujo de Caja Libre</t>
  </si>
  <si>
    <t>Margen KTNO_PKT</t>
  </si>
  <si>
    <t>Nota: El precio debe subir al menos</t>
  </si>
  <si>
    <t>Promedio DSCR</t>
  </si>
  <si>
    <t>Equity Cash Flow</t>
  </si>
  <si>
    <t>Tax Shield</t>
  </si>
  <si>
    <t>Rentabilidad del accionista</t>
  </si>
  <si>
    <t>Aportes de equity</t>
  </si>
  <si>
    <t>Dividendos</t>
  </si>
  <si>
    <t>Flujo de caja (Base Gravable)</t>
  </si>
  <si>
    <t>Impuesto de renta (35%)</t>
  </si>
  <si>
    <t>Flujo de caja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</si>
</sst>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\$\ #,##0.0"/>
    <numFmt numFmtId="165" formatCode="0.0%"/>
    <numFmt numFmtId="166" formatCode="&quot;$&quot;#,##0"/>
    <numFmt numFmtId="167" formatCode="_-* #,##0_-;\-* #,##0_-;_-* &quot;-&quot;??_-;_-@_-"/>
    <numFmt numFmtId="168" formatCode="0.000%"/>
    <numFmt numFmtId="169" formatCode="0.0\x"/>
    <numFmt numFmtId="170" formatCode="_-&quot;$&quot;* #,##0_-;\-&quot;$&quot;* #,##0_-;_-&quot;$&quot;* &quot;-&quot;??_-;_-@_-"/>
    <numFmt numFmtId="171" formatCode="0.0"/>
    <numFmt numFmtId="172" formatCode="_-* #,##0.00_-;\-* #,##0.00_-;_-* &quot;-&quot;_-;_-@_-"/>
  </numFmts>
  <fonts count="24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u/>
      <sz val="11"/>
      <color theme="10"/>
      <name val="Calibri"/>
      <family val="2"/>
      <charset val="1"/>
    </font>
    <font>
      <u/>
      <sz val="12"/>
      <color theme="10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 Nova Cond"/>
      <family val="2"/>
    </font>
    <font>
      <sz val="10"/>
      <color theme="1"/>
      <name val="Arial Nova Cond"/>
      <family val="2"/>
    </font>
    <font>
      <sz val="10"/>
      <color rgb="FFFF0000"/>
      <name val="Arial Nova Cond"/>
      <family val="2"/>
    </font>
    <font>
      <b/>
      <sz val="10"/>
      <color rgb="FF000000"/>
      <name val="Arial Nova Cond"/>
    </font>
    <font>
      <b/>
      <sz val="12"/>
      <color theme="1"/>
      <name val="Aptos Narrow"/>
      <scheme val="minor"/>
    </font>
    <font>
      <b/>
      <sz val="10"/>
      <color theme="1"/>
      <name val="Arial Nova Cond"/>
    </font>
    <font>
      <sz val="10"/>
      <color rgb="FF000000"/>
      <name val="Arial Nova Cond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EEF2F7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1" fillId="0" borderId="0"/>
  </cellStyleXfs>
  <cellXfs count="14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10" fontId="0" fillId="0" borderId="0" xfId="2" applyNumberFormat="1" applyFont="1"/>
    <xf numFmtId="0" fontId="6" fillId="4" borderId="2" xfId="0" applyFont="1" applyFill="1" applyBorder="1" applyAlignment="1">
      <alignment horizontal="left" vertical="center"/>
    </xf>
    <xf numFmtId="42" fontId="0" fillId="0" borderId="0" xfId="1" applyFont="1"/>
    <xf numFmtId="166" fontId="0" fillId="0" borderId="0" xfId="0" applyNumberFormat="1"/>
    <xf numFmtId="0" fontId="4" fillId="2" borderId="3" xfId="0" applyFont="1" applyFill="1" applyBorder="1" applyAlignment="1">
      <alignment horizontal="center" vertical="center" wrapText="1"/>
    </xf>
    <xf numFmtId="42" fontId="5" fillId="3" borderId="1" xfId="1" applyFont="1" applyFill="1" applyBorder="1" applyAlignment="1">
      <alignment horizontal="right" vertical="center"/>
    </xf>
    <xf numFmtId="42" fontId="5" fillId="0" borderId="1" xfId="1" applyFont="1" applyBorder="1" applyAlignment="1">
      <alignment horizontal="right" vertical="center"/>
    </xf>
    <xf numFmtId="42" fontId="6" fillId="4" borderId="2" xfId="1" applyFont="1" applyFill="1" applyBorder="1" applyAlignment="1">
      <alignment horizontal="right" vertical="center"/>
    </xf>
    <xf numFmtId="166" fontId="0" fillId="0" borderId="0" xfId="2" applyNumberFormat="1" applyFont="1"/>
    <xf numFmtId="42" fontId="0" fillId="0" borderId="0" xfId="0" applyNumberFormat="1"/>
    <xf numFmtId="0" fontId="7" fillId="0" borderId="0" xfId="0" applyFont="1"/>
    <xf numFmtId="0" fontId="4" fillId="2" borderId="0" xfId="0" applyFont="1" applyFill="1" applyAlignment="1">
      <alignment horizontal="center" vertical="center" wrapText="1"/>
    </xf>
    <xf numFmtId="42" fontId="6" fillId="4" borderId="0" xfId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5" fillId="3" borderId="0" xfId="2" applyFont="1" applyFill="1" applyBorder="1" applyAlignment="1">
      <alignment horizontal="right" vertical="center"/>
    </xf>
    <xf numFmtId="9" fontId="5" fillId="0" borderId="0" xfId="2" applyFont="1" applyBorder="1" applyAlignment="1">
      <alignment horizontal="right" vertical="center"/>
    </xf>
    <xf numFmtId="1" fontId="5" fillId="3" borderId="0" xfId="1" applyNumberFormat="1" applyFont="1" applyFill="1" applyBorder="1" applyAlignment="1">
      <alignment horizontal="right" vertical="center"/>
    </xf>
    <xf numFmtId="1" fontId="5" fillId="0" borderId="0" xfId="1" applyNumberFormat="1" applyFont="1" applyBorder="1" applyAlignment="1">
      <alignment horizontal="right" vertical="center"/>
    </xf>
    <xf numFmtId="0" fontId="3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0" fillId="0" borderId="0" xfId="0" applyNumberFormat="1"/>
    <xf numFmtId="0" fontId="8" fillId="0" borderId="0" xfId="3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65" fontId="5" fillId="3" borderId="0" xfId="2" applyNumberFormat="1" applyFont="1" applyFill="1" applyBorder="1" applyAlignment="1">
      <alignment horizontal="right" vertical="center"/>
    </xf>
    <xf numFmtId="10" fontId="0" fillId="0" borderId="0" xfId="0" applyNumberFormat="1"/>
    <xf numFmtId="167" fontId="0" fillId="0" borderId="0" xfId="6" applyNumberFormat="1" applyFont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0" fillId="0" borderId="11" xfId="6" applyFont="1" applyBorder="1"/>
    <xf numFmtId="9" fontId="0" fillId="0" borderId="11" xfId="0" applyNumberFormat="1" applyBorder="1"/>
    <xf numFmtId="0" fontId="0" fillId="0" borderId="12" xfId="0" applyBorder="1"/>
    <xf numFmtId="43" fontId="0" fillId="0" borderId="13" xfId="6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7" xfId="0" applyBorder="1"/>
    <xf numFmtId="0" fontId="0" fillId="0" borderId="13" xfId="0" applyBorder="1"/>
    <xf numFmtId="14" fontId="0" fillId="0" borderId="0" xfId="0" applyNumberFormat="1"/>
    <xf numFmtId="43" fontId="0" fillId="0" borderId="0" xfId="6" applyFont="1"/>
    <xf numFmtId="168" fontId="0" fillId="0" borderId="0" xfId="0" applyNumberFormat="1"/>
    <xf numFmtId="168" fontId="0" fillId="0" borderId="0" xfId="2" applyNumberFormat="1" applyFont="1"/>
    <xf numFmtId="0" fontId="11" fillId="0" borderId="0" xfId="5"/>
    <xf numFmtId="2" fontId="0" fillId="0" borderId="0" xfId="0" applyNumberFormat="1"/>
    <xf numFmtId="10" fontId="11" fillId="0" borderId="0" xfId="5" applyNumberFormat="1"/>
    <xf numFmtId="3" fontId="0" fillId="0" borderId="0" xfId="0" applyNumberFormat="1"/>
    <xf numFmtId="165" fontId="0" fillId="0" borderId="0" xfId="0" applyNumberFormat="1"/>
    <xf numFmtId="0" fontId="14" fillId="9" borderId="0" xfId="0" applyFont="1" applyFill="1"/>
    <xf numFmtId="3" fontId="0" fillId="9" borderId="0" xfId="0" applyNumberFormat="1" applyFill="1"/>
    <xf numFmtId="42" fontId="5" fillId="3" borderId="1" xfId="0" applyNumberFormat="1" applyFont="1" applyFill="1" applyBorder="1" applyAlignment="1">
      <alignment horizontal="left" vertical="center"/>
    </xf>
    <xf numFmtId="42" fontId="5" fillId="0" borderId="1" xfId="0" applyNumberFormat="1" applyFont="1" applyBorder="1" applyAlignment="1">
      <alignment horizontal="left" vertical="center"/>
    </xf>
    <xf numFmtId="1" fontId="0" fillId="0" borderId="0" xfId="2" applyNumberFormat="1" applyFont="1"/>
    <xf numFmtId="9" fontId="5" fillId="0" borderId="0" xfId="2" applyFont="1" applyAlignment="1">
      <alignment horizontal="right" vertical="center"/>
    </xf>
    <xf numFmtId="44" fontId="0" fillId="0" borderId="0" xfId="0" applyNumberFormat="1"/>
    <xf numFmtId="0" fontId="9" fillId="0" borderId="0" xfId="3" applyFont="1"/>
    <xf numFmtId="0" fontId="14" fillId="0" borderId="0" xfId="7" applyFont="1" applyAlignment="1">
      <alignment horizontal="center"/>
    </xf>
    <xf numFmtId="0" fontId="1" fillId="0" borderId="0" xfId="7"/>
    <xf numFmtId="14" fontId="1" fillId="0" borderId="0" xfId="7" applyNumberFormat="1"/>
    <xf numFmtId="0" fontId="14" fillId="0" borderId="6" xfId="7" applyFont="1" applyBorder="1" applyAlignment="1">
      <alignment horizontal="center"/>
    </xf>
    <xf numFmtId="10" fontId="16" fillId="0" borderId="6" xfId="7" applyNumberFormat="1" applyFont="1" applyBorder="1" applyAlignment="1">
      <alignment horizontal="center" vertical="center" wrapText="1"/>
    </xf>
    <xf numFmtId="10" fontId="1" fillId="0" borderId="6" xfId="7" applyNumberFormat="1" applyBorder="1" applyAlignment="1">
      <alignment horizontal="center"/>
    </xf>
    <xf numFmtId="0" fontId="14" fillId="0" borderId="0" xfId="7" applyFont="1" applyAlignment="1">
      <alignment horizontal="left"/>
    </xf>
    <xf numFmtId="10" fontId="1" fillId="0" borderId="0" xfId="2" applyNumberFormat="1" applyFont="1"/>
    <xf numFmtId="0" fontId="17" fillId="0" borderId="0" xfId="0" applyFont="1"/>
    <xf numFmtId="0" fontId="18" fillId="0" borderId="0" xfId="0" applyFont="1"/>
    <xf numFmtId="10" fontId="19" fillId="0" borderId="18" xfId="2" applyNumberFormat="1" applyFont="1" applyFill="1" applyBorder="1"/>
    <xf numFmtId="9" fontId="18" fillId="0" borderId="0" xfId="2" applyFont="1"/>
    <xf numFmtId="9" fontId="19" fillId="0" borderId="19" xfId="2" applyFont="1" applyBorder="1"/>
    <xf numFmtId="41" fontId="18" fillId="0" borderId="0" xfId="1" applyNumberFormat="1" applyFont="1"/>
    <xf numFmtId="171" fontId="18" fillId="0" borderId="19" xfId="1" applyNumberFormat="1" applyFont="1" applyBorder="1"/>
    <xf numFmtId="42" fontId="18" fillId="0" borderId="0" xfId="1" applyFont="1"/>
    <xf numFmtId="42" fontId="18" fillId="0" borderId="0" xfId="0" applyNumberFormat="1" applyFont="1"/>
    <xf numFmtId="10" fontId="18" fillId="0" borderId="0" xfId="2" applyNumberFormat="1" applyFont="1"/>
    <xf numFmtId="170" fontId="18" fillId="0" borderId="0" xfId="0" applyNumberFormat="1" applyFont="1"/>
    <xf numFmtId="169" fontId="18" fillId="0" borderId="0" xfId="0" applyNumberFormat="1" applyFont="1"/>
    <xf numFmtId="44" fontId="18" fillId="0" borderId="0" xfId="0" applyNumberFormat="1" applyFont="1"/>
    <xf numFmtId="41" fontId="17" fillId="0" borderId="0" xfId="1" applyNumberFormat="1" applyFont="1"/>
    <xf numFmtId="170" fontId="17" fillId="0" borderId="0" xfId="0" applyNumberFormat="1" applyFont="1"/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0" fontId="18" fillId="0" borderId="19" xfId="0" applyFont="1" applyBorder="1" applyAlignment="1">
      <alignment horizontal="left" vertical="center" wrapText="1"/>
    </xf>
    <xf numFmtId="9" fontId="18" fillId="0" borderId="19" xfId="2" applyFont="1" applyBorder="1"/>
    <xf numFmtId="0" fontId="18" fillId="0" borderId="18" xfId="0" applyFont="1" applyBorder="1" applyAlignment="1">
      <alignment horizontal="left" vertical="center" wrapText="1"/>
    </xf>
    <xf numFmtId="10" fontId="18" fillId="0" borderId="18" xfId="2" applyNumberFormat="1" applyFont="1" applyFill="1" applyBorder="1"/>
    <xf numFmtId="171" fontId="18" fillId="0" borderId="0" xfId="1" applyNumberFormat="1" applyFont="1" applyBorder="1"/>
    <xf numFmtId="0" fontId="17" fillId="0" borderId="19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19" xfId="0" applyFont="1" applyBorder="1"/>
    <xf numFmtId="0" fontId="18" fillId="10" borderId="0" xfId="0" applyFont="1" applyFill="1" applyAlignment="1">
      <alignment horizontal="left" vertical="center" wrapText="1"/>
    </xf>
    <xf numFmtId="0" fontId="19" fillId="0" borderId="0" xfId="0" applyFont="1"/>
    <xf numFmtId="0" fontId="19" fillId="0" borderId="19" xfId="0" applyFont="1" applyBorder="1"/>
    <xf numFmtId="41" fontId="18" fillId="0" borderId="0" xfId="0" applyNumberFormat="1" applyFont="1"/>
    <xf numFmtId="41" fontId="17" fillId="0" borderId="0" xfId="0" applyNumberFormat="1" applyFont="1"/>
    <xf numFmtId="2" fontId="18" fillId="0" borderId="0" xfId="1" applyNumberFormat="1" applyFont="1"/>
    <xf numFmtId="0" fontId="17" fillId="0" borderId="20" xfId="0" applyFont="1" applyBorder="1" applyAlignment="1">
      <alignment horizontal="left" vertical="center" wrapText="1"/>
    </xf>
    <xf numFmtId="41" fontId="17" fillId="0" borderId="21" xfId="1" applyNumberFormat="1" applyFont="1" applyBorder="1"/>
    <xf numFmtId="0" fontId="17" fillId="0" borderId="22" xfId="0" applyFont="1" applyBorder="1" applyAlignment="1">
      <alignment horizontal="left" vertical="center" wrapText="1"/>
    </xf>
    <xf numFmtId="10" fontId="17" fillId="0" borderId="23" xfId="1" applyNumberFormat="1" applyFont="1" applyBorder="1"/>
    <xf numFmtId="41" fontId="17" fillId="0" borderId="23" xfId="1" applyNumberFormat="1" applyFont="1" applyBorder="1"/>
    <xf numFmtId="0" fontId="18" fillId="0" borderId="22" xfId="0" applyFont="1" applyBorder="1" applyAlignment="1">
      <alignment horizontal="left" vertical="center" wrapText="1"/>
    </xf>
    <xf numFmtId="41" fontId="18" fillId="0" borderId="23" xfId="1" applyNumberFormat="1" applyFont="1" applyBorder="1"/>
    <xf numFmtId="0" fontId="17" fillId="0" borderId="24" xfId="0" applyFont="1" applyBorder="1" applyAlignment="1">
      <alignment horizontal="left" vertical="center" wrapText="1"/>
    </xf>
    <xf numFmtId="172" fontId="17" fillId="0" borderId="25" xfId="1" applyNumberFormat="1" applyFont="1" applyBorder="1"/>
    <xf numFmtId="41" fontId="18" fillId="5" borderId="0" xfId="1" applyNumberFormat="1" applyFont="1" applyFill="1"/>
    <xf numFmtId="165" fontId="18" fillId="0" borderId="0" xfId="2" applyNumberFormat="1" applyFont="1"/>
    <xf numFmtId="41" fontId="0" fillId="0" borderId="0" xfId="0" applyNumberFormat="1"/>
    <xf numFmtId="172" fontId="17" fillId="0" borderId="23" xfId="1" applyNumberFormat="1" applyFont="1" applyBorder="1"/>
    <xf numFmtId="1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0" fillId="0" borderId="21" xfId="0" applyBorder="1"/>
    <xf numFmtId="0" fontId="0" fillId="0" borderId="25" xfId="0" applyBorder="1"/>
    <xf numFmtId="0" fontId="0" fillId="11" borderId="0" xfId="0" applyFill="1"/>
    <xf numFmtId="0" fontId="0" fillId="11" borderId="20" xfId="0" applyFill="1" applyBorder="1"/>
    <xf numFmtId="0" fontId="0" fillId="11" borderId="24" xfId="0" applyFill="1" applyBorder="1"/>
    <xf numFmtId="171" fontId="18" fillId="0" borderId="0" xfId="0" applyNumberFormat="1" applyFont="1"/>
    <xf numFmtId="10" fontId="0" fillId="0" borderId="0" xfId="0" applyNumberFormat="1" applyAlignment="1">
      <alignment horizontal="right"/>
    </xf>
    <xf numFmtId="167" fontId="0" fillId="0" borderId="0" xfId="0" applyNumberFormat="1"/>
    <xf numFmtId="10" fontId="20" fillId="0" borderId="18" xfId="0" applyNumberFormat="1" applyFont="1" applyBorder="1"/>
    <xf numFmtId="0" fontId="21" fillId="0" borderId="0" xfId="0" applyFont="1"/>
    <xf numFmtId="0" fontId="3" fillId="0" borderId="7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15" fillId="8" borderId="0" xfId="0" applyFont="1" applyFill="1"/>
    <xf numFmtId="9" fontId="18" fillId="0" borderId="0" xfId="0" applyNumberFormat="1" applyFont="1"/>
    <xf numFmtId="0" fontId="22" fillId="0" borderId="0" xfId="0" applyFont="1" applyAlignment="1">
      <alignment horizontal="left" vertical="center" wrapText="1"/>
    </xf>
    <xf numFmtId="165" fontId="23" fillId="0" borderId="0" xfId="0" applyNumberFormat="1" applyFont="1"/>
  </cellXfs>
  <cellStyles count="8">
    <cellStyle name="Comma" xfId="6" builtinId="3"/>
    <cellStyle name="Currency [0]" xfId="1" builtinId="7"/>
    <cellStyle name="Hipervínculo 2" xfId="4" xr:uid="{65A2168F-9865-482A-A5D0-89CC7EF8D6B9}"/>
    <cellStyle name="Hyperlink" xfId="5" builtinId="8"/>
    <cellStyle name="Normal" xfId="0" builtinId="0"/>
    <cellStyle name="Normal 2" xfId="3" xr:uid="{5F764FE4-05BF-42AD-B45F-C0F9C4A19278}"/>
    <cellStyle name="Normal 3" xfId="7" xr:uid="{8CBA8765-4879-45E0-BDA6-5E18BF37BF1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EVA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EVA</c:v>
          </c:tx>
          <c:spPr>
            <a:ln w="12700" cap="rnd">
              <a:gradFill flip="none" rotWithShape="1">
                <a:gsLst>
                  <a:gs pos="50000">
                    <a:schemeClr val="accent1">
                      <a:lumMod val="89000"/>
                      <a:alpha val="92000"/>
                    </a:schemeClr>
                  </a:gs>
                  <a:gs pos="23000">
                    <a:schemeClr val="accent1">
                      <a:lumMod val="89000"/>
                    </a:schemeClr>
                  </a:gs>
                  <a:gs pos="69000">
                    <a:schemeClr val="accent1">
                      <a:lumMod val="75000"/>
                    </a:schemeClr>
                  </a:gs>
                  <a:gs pos="97000">
                    <a:schemeClr val="accent1">
                      <a:lumMod val="70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resultados'!$D$84:$M$84</c:f>
              <c:numCache>
                <c:formatCode>_("$"* #,##0.00_);_("$"* \(#,##0.00\);_("$"* "-"??_);_(@_)</c:formatCode>
                <c:ptCount val="10"/>
                <c:pt idx="0">
                  <c:v>-2367926592.296567</c:v>
                </c:pt>
                <c:pt idx="1">
                  <c:v>4492600550.6400299</c:v>
                </c:pt>
                <c:pt idx="2">
                  <c:v>6070984150.1573792</c:v>
                </c:pt>
                <c:pt idx="3">
                  <c:v>7841354360.302618</c:v>
                </c:pt>
                <c:pt idx="4">
                  <c:v>9828177486.2056084</c:v>
                </c:pt>
                <c:pt idx="5">
                  <c:v>12054835400.706354</c:v>
                </c:pt>
                <c:pt idx="6">
                  <c:v>14525492773.678879</c:v>
                </c:pt>
                <c:pt idx="7">
                  <c:v>17308423638.848938</c:v>
                </c:pt>
                <c:pt idx="8">
                  <c:v>20464242875.856503</c:v>
                </c:pt>
                <c:pt idx="9">
                  <c:v>24024709967.324932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C8-4540-BE71-2C91A9EC15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3123520"/>
        <c:axId val="573118592"/>
      </c:lineChart>
      <c:catAx>
        <c:axId val="5731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18592"/>
        <c:crosses val="autoZero"/>
        <c:auto val="1"/>
        <c:lblAlgn val="ctr"/>
        <c:lblOffset val="100"/>
        <c:noMultiLvlLbl val="0"/>
      </c:catAx>
      <c:valAx>
        <c:axId val="57311859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resultados'!$D$77:$M$77</c:f>
              <c:numCache>
                <c:formatCode>0.00%</c:formatCode>
                <c:ptCount val="10"/>
                <c:pt idx="0">
                  <c:v>4.5347788847315509E-2</c:v>
                </c:pt>
                <c:pt idx="1">
                  <c:v>0.54600738063037135</c:v>
                </c:pt>
                <c:pt idx="2">
                  <c:v>0.70018986987486709</c:v>
                </c:pt>
                <c:pt idx="3">
                  <c:v>0.89992203369697543</c:v>
                </c:pt>
                <c:pt idx="4">
                  <c:v>1.1637715743647659</c:v>
                </c:pt>
                <c:pt idx="5">
                  <c:v>1.5206216485776922</c:v>
                </c:pt>
                <c:pt idx="6">
                  <c:v>2.0176818424150924</c:v>
                </c:pt>
                <c:pt idx="7">
                  <c:v>2.7503429270087913</c:v>
                </c:pt>
                <c:pt idx="8">
                  <c:v>3.9177885376145096</c:v>
                </c:pt>
                <c:pt idx="9">
                  <c:v>6.0050554186525691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8-384D-A3D7-737AACA3D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850368"/>
        <c:axId val="573127104"/>
      </c:barChart>
      <c:catAx>
        <c:axId val="3398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7104"/>
        <c:crosses val="autoZero"/>
        <c:auto val="1"/>
        <c:lblAlgn val="ctr"/>
        <c:lblOffset val="100"/>
        <c:noMultiLvlLbl val="0"/>
      </c:catAx>
      <c:valAx>
        <c:axId val="5731271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resultados'!$D$58:$M$58</c:f>
              <c:numCache>
                <c:formatCode>_(* #,##0_);_(* \(#,##0\);_(* "-"_);_(@_)</c:formatCode>
                <c:ptCount val="10"/>
                <c:pt idx="0">
                  <c:v>1805750000</c:v>
                </c:pt>
                <c:pt idx="1">
                  <c:v>12016885734</c:v>
                </c:pt>
                <c:pt idx="2">
                  <c:v>14129406768.160664</c:v>
                </c:pt>
                <c:pt idx="3">
                  <c:v>16525596223.349127</c:v>
                </c:pt>
                <c:pt idx="4">
                  <c:v>19240937915.053993</c:v>
                </c:pt>
                <c:pt idx="5">
                  <c:v>22310256884.71899</c:v>
                </c:pt>
                <c:pt idx="6">
                  <c:v>25736854738.934376</c:v>
                </c:pt>
                <c:pt idx="7">
                  <c:v>29624535352.125233</c:v>
                </c:pt>
                <c:pt idx="8">
                  <c:v>34062547207.056545</c:v>
                </c:pt>
                <c:pt idx="9">
                  <c:v>39097445573.897278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4-4244-80C2-D217F3E3FDD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41375424"/>
        <c:axId val="578648512"/>
      </c:lineChart>
      <c:catAx>
        <c:axId val="34137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8648512"/>
        <c:crosses val="autoZero"/>
        <c:auto val="1"/>
        <c:lblAlgn val="ctr"/>
        <c:lblOffset val="100"/>
        <c:noMultiLvlLbl val="0"/>
      </c:catAx>
      <c:valAx>
        <c:axId val="578648512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37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KTNO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3.2304110566881102E-2"/>
          <c:y val="0.14544445575537712"/>
          <c:w val="0.93156706951066781"/>
          <c:h val="0.74976401281337712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resultados'!$D$38:$M$38</c:f>
              <c:numCache>
                <c:formatCode>_(* #,##0_);_(* \(#,##0\);_(* "-"_);_(@_)</c:formatCode>
                <c:ptCount val="10"/>
                <c:pt idx="0">
                  <c:v>1218750000</c:v>
                </c:pt>
                <c:pt idx="1">
                  <c:v>953092985.1723628</c:v>
                </c:pt>
                <c:pt idx="2">
                  <c:v>773535605.32208681</c:v>
                </c:pt>
                <c:pt idx="3">
                  <c:v>557703473.00068378</c:v>
                </c:pt>
                <c:pt idx="4">
                  <c:v>298907566.76450825</c:v>
                </c:pt>
                <c:pt idx="5">
                  <c:v>-6409837.6047935486</c:v>
                </c:pt>
                <c:pt idx="6">
                  <c:v>-367880919.06023502</c:v>
                </c:pt>
                <c:pt idx="7">
                  <c:v>-789330229.96869659</c:v>
                </c:pt>
                <c:pt idx="8">
                  <c:v>-1283180126.3119297</c:v>
                </c:pt>
                <c:pt idx="9">
                  <c:v>-1856581200.7478695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E-D846-AB1A-2015D10C01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9851264"/>
        <c:axId val="993818176"/>
      </c:lineChart>
      <c:catAx>
        <c:axId val="3398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993818176"/>
        <c:crosses val="autoZero"/>
        <c:auto val="1"/>
        <c:lblAlgn val="ctr"/>
        <c:lblOffset val="100"/>
        <c:noMultiLvlLbl val="0"/>
      </c:catAx>
      <c:valAx>
        <c:axId val="99381817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Palanca de crecimiento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resultados'!$D$83:$M$83</c:f>
              <c:numCache>
                <c:formatCode>0.0\x</c:formatCode>
                <c:ptCount val="10"/>
                <c:pt idx="0">
                  <c:v>1.4816410256410257</c:v>
                </c:pt>
                <c:pt idx="1">
                  <c:v>12.608303618798326</c:v>
                </c:pt>
                <c:pt idx="2">
                  <c:v>18.266006982674604</c:v>
                </c:pt>
                <c:pt idx="3">
                  <c:v>29.631510333680254</c:v>
                </c:pt>
                <c:pt idx="4">
                  <c:v>64.370862615909616</c:v>
                </c:pt>
                <c:pt idx="5">
                  <c:v>-3480.6274761211475</c:v>
                </c:pt>
                <c:pt idx="6">
                  <c:v>-69.959743507981045</c:v>
                </c:pt>
                <c:pt idx="7">
                  <c:v>-37.531231197492701</c:v>
                </c:pt>
                <c:pt idx="8">
                  <c:v>-26.54541362400764</c:v>
                </c:pt>
                <c:pt idx="9">
                  <c:v>-21.058839526193637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A-984B-8D10-B8567A66AC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10368"/>
        <c:axId val="338408128"/>
      </c:barChart>
      <c:catAx>
        <c:axId val="33841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8128"/>
        <c:crosses val="autoZero"/>
        <c:auto val="1"/>
        <c:lblAlgn val="ctr"/>
        <c:lblOffset val="100"/>
        <c:noMultiLvlLbl val="0"/>
      </c:catAx>
      <c:valAx>
        <c:axId val="338408128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resultados'!$D$80:$M$80</c:f>
              <c:numCache>
                <c:formatCode>0.00%</c:formatCode>
                <c:ptCount val="10"/>
                <c:pt idx="0">
                  <c:v>0.18520512820512822</c:v>
                </c:pt>
                <c:pt idx="1">
                  <c:v>0.3543805889788848</c:v>
                </c:pt>
                <c:pt idx="2">
                  <c:v>0.36792743900984709</c:v>
                </c:pt>
                <c:pt idx="3">
                  <c:v>0.38090248455804709</c:v>
                </c:pt>
                <c:pt idx="4">
                  <c:v>0.39333073348669162</c:v>
                </c:pt>
                <c:pt idx="5">
                  <c:v>0.40523605579609845</c:v>
                </c:pt>
                <c:pt idx="6">
                  <c:v>0.41664123755267002</c:v>
                </c:pt>
                <c:pt idx="7">
                  <c:v>0.42756803216069517</c:v>
                </c:pt>
                <c:pt idx="8">
                  <c:v>0.43803720911245714</c:v>
                </c:pt>
                <c:pt idx="9">
                  <c:v>0.44806860034503754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1-3A4F-B4F3-5140B23001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0779328"/>
        <c:axId val="333353792"/>
      </c:barChart>
      <c:catAx>
        <c:axId val="5807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3353792"/>
        <c:crosses val="autoZero"/>
        <c:auto val="1"/>
        <c:lblAlgn val="ctr"/>
        <c:lblOffset val="100"/>
        <c:noMultiLvlLbl val="0"/>
      </c:catAx>
      <c:valAx>
        <c:axId val="33335379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807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</a:t>
            </a:r>
            <a:r>
              <a:rPr lang="en-US" baseline="0"/>
              <a:t> bruto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resultados'!$D$78:$M$78</c:f>
              <c:numCache>
                <c:formatCode>0.00%</c:formatCode>
                <c:ptCount val="10"/>
                <c:pt idx="0">
                  <c:v>0.60807692307692307</c:v>
                </c:pt>
                <c:pt idx="1">
                  <c:v>0.65520647034037172</c:v>
                </c:pt>
                <c:pt idx="2">
                  <c:v>0.66644242142634424</c:v>
                </c:pt>
                <c:pt idx="3">
                  <c:v>0.67723737363021419</c:v>
                </c:pt>
                <c:pt idx="4">
                  <c:v>0.68760893072458507</c:v>
                </c:pt>
                <c:pt idx="5">
                  <c:v>0.69757397771863949</c:v>
                </c:pt>
                <c:pt idx="6">
                  <c:v>0.70714871106450117</c:v>
                </c:pt>
                <c:pt idx="7">
                  <c:v>0.71634866754921511</c:v>
                </c:pt>
                <c:pt idx="8">
                  <c:v>0.72518875193181564</c:v>
                </c:pt>
                <c:pt idx="9">
                  <c:v>0.73368326338216816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D6-8541-8607-762F45383D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1724224"/>
        <c:axId val="341725568"/>
      </c:barChart>
      <c:catAx>
        <c:axId val="34172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5568"/>
        <c:crosses val="autoZero"/>
        <c:auto val="1"/>
        <c:lblAlgn val="ctr"/>
        <c:lblOffset val="100"/>
        <c:noMultiLvlLbl val="0"/>
      </c:catAx>
      <c:valAx>
        <c:axId val="34172556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resultados'!$D$79:$M$79</c:f>
              <c:numCache>
                <c:formatCode>0.00%</c:formatCode>
                <c:ptCount val="10"/>
                <c:pt idx="0">
                  <c:v>0.10317435897435898</c:v>
                </c:pt>
                <c:pt idx="1">
                  <c:v>0.33079431202333559</c:v>
                </c:pt>
                <c:pt idx="2">
                  <c:v>0.34710077795121136</c:v>
                </c:pt>
                <c:pt idx="3">
                  <c:v>0.36246769993471895</c:v>
                </c:pt>
                <c:pt idx="4">
                  <c:v>0.37698091093482289</c:v>
                </c:pt>
                <c:pt idx="5">
                  <c:v>0.39070875568026198</c:v>
                </c:pt>
                <c:pt idx="6">
                  <c:v>0.40369367013719554</c:v>
                </c:pt>
                <c:pt idx="7">
                  <c:v>0.41602459669217595</c:v>
                </c:pt>
                <c:pt idx="8">
                  <c:v>0.42775194894919005</c:v>
                </c:pt>
                <c:pt idx="9">
                  <c:v>0.43890264944221902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8-2B40-85FB-62ABB3BFE7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365504"/>
        <c:axId val="338376704"/>
      </c:barChart>
      <c:catAx>
        <c:axId val="3383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76704"/>
        <c:crosses val="autoZero"/>
        <c:auto val="1"/>
        <c:lblAlgn val="ctr"/>
        <c:lblOffset val="100"/>
        <c:noMultiLvlLbl val="0"/>
      </c:catAx>
      <c:valAx>
        <c:axId val="3383767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6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Productividad</a:t>
            </a:r>
            <a:r>
              <a:rPr lang="en-US" baseline="0"/>
              <a:t> del capital de trabajo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resultados'!$D$81:$M$81</c:f>
              <c:numCache>
                <c:formatCode>0.00%</c:formatCode>
                <c:ptCount val="10"/>
                <c:pt idx="0">
                  <c:v>0.125</c:v>
                </c:pt>
                <c:pt idx="1">
                  <c:v>2.8106920620988358E-2</c:v>
                </c:pt>
                <c:pt idx="2">
                  <c:v>2.0142740521167438E-2</c:v>
                </c:pt>
                <c:pt idx="3">
                  <c:v>1.2854642921292455E-2</c:v>
                </c:pt>
                <c:pt idx="4">
                  <c:v>6.1103846911860042E-3</c:v>
                </c:pt>
                <c:pt idx="5">
                  <c:v>-1.1642614976070301E-4</c:v>
                </c:pt>
                <c:pt idx="6">
                  <c:v>-5.9554426111516458E-3</c:v>
                </c:pt>
                <c:pt idx="7">
                  <c:v>-1.1392326297818313E-2</c:v>
                </c:pt>
                <c:pt idx="8">
                  <c:v>-1.6501427151102924E-2</c:v>
                </c:pt>
                <c:pt idx="9">
                  <c:v>-2.1276984412541628E-2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B-3548-AA9C-DAD4A4A76C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2675072"/>
        <c:axId val="332665216"/>
      </c:barChart>
      <c:catAx>
        <c:axId val="33267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65216"/>
        <c:crosses val="autoZero"/>
        <c:auto val="1"/>
        <c:lblAlgn val="ctr"/>
        <c:lblOffset val="100"/>
        <c:noMultiLvlLbl val="0"/>
      </c:catAx>
      <c:valAx>
        <c:axId val="33266521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7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intereses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resultados'!$D$86:$M$86</c:f>
              <c:numCache>
                <c:formatCode>0.0\x</c:formatCode>
                <c:ptCount val="10"/>
                <c:pt idx="0">
                  <c:v>0.55136899194773203</c:v>
                </c:pt>
                <c:pt idx="1">
                  <c:v>6.1307089968331088</c:v>
                </c:pt>
                <c:pt idx="2">
                  <c:v>7.3060607851487758</c:v>
                </c:pt>
                <c:pt idx="3">
                  <c:v>8.6194307979953866</c:v>
                </c:pt>
                <c:pt idx="4">
                  <c:v>10.107730625371461</c:v>
                </c:pt>
                <c:pt idx="5">
                  <c:v>11.75656089971875</c:v>
                </c:pt>
                <c:pt idx="6">
                  <c:v>13.66819298528919</c:v>
                </c:pt>
                <c:pt idx="7">
                  <c:v>15.799060862131761</c:v>
                </c:pt>
                <c:pt idx="8">
                  <c:v>18.231569558096332</c:v>
                </c:pt>
                <c:pt idx="9">
                  <c:v>20.931615024189643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3-004D-99C9-EC5AD6581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9404800"/>
        <c:axId val="419404352"/>
      </c:barChart>
      <c:catAx>
        <c:axId val="41940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352"/>
        <c:crosses val="autoZero"/>
        <c:auto val="1"/>
        <c:lblAlgn val="ctr"/>
        <c:lblOffset val="100"/>
        <c:noMultiLvlLbl val="0"/>
      </c:catAx>
      <c:valAx>
        <c:axId val="419404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servicio a la deuda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resultados'!$D$88:$M$88</c:f>
              <c:numCache>
                <c:formatCode>0.0\x</c:formatCode>
                <c:ptCount val="10"/>
                <c:pt idx="0">
                  <c:v>0.12876010255567508</c:v>
                </c:pt>
                <c:pt idx="1">
                  <c:v>4.5672874041827409</c:v>
                </c:pt>
                <c:pt idx="2">
                  <c:v>5.2857328810754876</c:v>
                </c:pt>
                <c:pt idx="3">
                  <c:v>6.1593058624146595</c:v>
                </c:pt>
                <c:pt idx="4">
                  <c:v>1.7787935695598545</c:v>
                </c:pt>
                <c:pt idx="5">
                  <c:v>8.2457675651089062</c:v>
                </c:pt>
                <c:pt idx="6">
                  <c:v>9.520827120998776</c:v>
                </c:pt>
                <c:pt idx="7">
                  <c:v>10.938765773390726</c:v>
                </c:pt>
                <c:pt idx="8">
                  <c:v>12.559579747809146</c:v>
                </c:pt>
                <c:pt idx="9">
                  <c:v>2.0159144345095337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A-E245-AA4D-246CBA776B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05440"/>
        <c:axId val="338406336"/>
      </c:barChart>
      <c:catAx>
        <c:axId val="3384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6336"/>
        <c:crosses val="autoZero"/>
        <c:auto val="1"/>
        <c:lblAlgn val="ctr"/>
        <c:lblOffset val="100"/>
        <c:noMultiLvlLbl val="0"/>
      </c:catAx>
      <c:valAx>
        <c:axId val="338406336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Apalancamiento</a:t>
            </a:r>
            <a:r>
              <a:rPr lang="en-US" baseline="0"/>
              <a:t> financiero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resultados'!$D$91:$M$91</c:f>
              <c:numCache>
                <c:formatCode>0.0\x</c:formatCode>
                <c:ptCount val="10"/>
                <c:pt idx="0">
                  <c:v>6.2024089713415478</c:v>
                </c:pt>
                <c:pt idx="1">
                  <c:v>0.93202184392177889</c:v>
                </c:pt>
                <c:pt idx="2">
                  <c:v>0.79267305300022817</c:v>
                </c:pt>
                <c:pt idx="3">
                  <c:v>0.67773651544114599</c:v>
                </c:pt>
                <c:pt idx="4">
                  <c:v>0.58209220618279678</c:v>
                </c:pt>
                <c:pt idx="5">
                  <c:v>0.50201125239715361</c:v>
                </c:pt>
                <c:pt idx="6">
                  <c:v>0.4351736105133619</c:v>
                </c:pt>
                <c:pt idx="7">
                  <c:v>0.37806500142107796</c:v>
                </c:pt>
                <c:pt idx="8">
                  <c:v>0.32880688375764683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F-2242-8A13-54BF640F1B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7113728"/>
        <c:axId val="297108352"/>
      </c:barChart>
      <c:catAx>
        <c:axId val="29711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08352"/>
        <c:crosses val="autoZero"/>
        <c:auto val="1"/>
        <c:lblAlgn val="ctr"/>
        <c:lblOffset val="100"/>
        <c:noMultiLvlLbl val="0"/>
      </c:catAx>
      <c:valAx>
        <c:axId val="297108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1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660260</xdr:colOff>
      <xdr:row>33</xdr:row>
      <xdr:rowOff>16565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12D7DA-342E-37D6-7CAF-6774DE725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29978"/>
          <a:ext cx="8040064" cy="17310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62314</xdr:colOff>
      <xdr:row>118</xdr:row>
      <xdr:rowOff>15351</xdr:rowOff>
    </xdr:from>
    <xdr:to>
      <xdr:col>3</xdr:col>
      <xdr:colOff>329014</xdr:colOff>
      <xdr:row>136</xdr:row>
      <xdr:rowOff>15351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56782-75B4-A217-A054-5C668503D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494114</xdr:colOff>
      <xdr:row>118</xdr:row>
      <xdr:rowOff>28051</xdr:rowOff>
    </xdr:from>
    <xdr:to>
      <xdr:col>6</xdr:col>
      <xdr:colOff>710014</xdr:colOff>
      <xdr:row>136</xdr:row>
      <xdr:rowOff>28051</xdr:rowOff>
    </xdr:to>
    <xdr:graphicFrame macro="">
      <xdr:nvGraphicFramePr>
        <xdr:cNvPr id="142" name="Chart 2">
          <a:extLst>
            <a:ext uri="{FF2B5EF4-FFF2-40B4-BE49-F238E27FC236}">
              <a16:creationId xmlns:a16="http://schemas.microsoft.com/office/drawing/2014/main" id="{977C32D1-A2B3-7BC5-1021-00E76C44D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887814</xdr:colOff>
      <xdr:row>118</xdr:row>
      <xdr:rowOff>41868</xdr:rowOff>
    </xdr:from>
    <xdr:to>
      <xdr:col>10</xdr:col>
      <xdr:colOff>75014</xdr:colOff>
      <xdr:row>136</xdr:row>
      <xdr:rowOff>41867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9E366D-C4F3-B43D-D1AD-EFC1811BA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75014</xdr:colOff>
      <xdr:row>137</xdr:row>
      <xdr:rowOff>105368</xdr:rowOff>
    </xdr:from>
    <xdr:to>
      <xdr:col>3</xdr:col>
      <xdr:colOff>341714</xdr:colOff>
      <xdr:row>155</xdr:row>
      <xdr:rowOff>105368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BF4DB3-C979-26AE-7651-1913EE2F1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462402</xdr:colOff>
      <xdr:row>137</xdr:row>
      <xdr:rowOff>134578</xdr:rowOff>
    </xdr:from>
    <xdr:to>
      <xdr:col>6</xdr:col>
      <xdr:colOff>674492</xdr:colOff>
      <xdr:row>155</xdr:row>
      <xdr:rowOff>134578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A5CE87-7EE7-7A1B-80B4-55205071D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913214</xdr:colOff>
      <xdr:row>138</xdr:row>
      <xdr:rowOff>15351</xdr:rowOff>
    </xdr:from>
    <xdr:to>
      <xdr:col>10</xdr:col>
      <xdr:colOff>100414</xdr:colOff>
      <xdr:row>156</xdr:row>
      <xdr:rowOff>15352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C86406-487B-0962-A74B-84A71E78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354414</xdr:colOff>
      <xdr:row>118</xdr:row>
      <xdr:rowOff>67268</xdr:rowOff>
    </xdr:from>
    <xdr:to>
      <xdr:col>13</xdr:col>
      <xdr:colOff>659214</xdr:colOff>
      <xdr:row>136</xdr:row>
      <xdr:rowOff>67267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EAE8C6-5F47-F69F-E077-F718A4CF7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392514</xdr:colOff>
      <xdr:row>137</xdr:row>
      <xdr:rowOff>143468</xdr:rowOff>
    </xdr:from>
    <xdr:to>
      <xdr:col>13</xdr:col>
      <xdr:colOff>697314</xdr:colOff>
      <xdr:row>155</xdr:row>
      <xdr:rowOff>143468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A16ECD-C9D1-3103-4444-7DDB3D1AF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62314</xdr:colOff>
      <xdr:row>157</xdr:row>
      <xdr:rowOff>54568</xdr:rowOff>
    </xdr:from>
    <xdr:to>
      <xdr:col>3</xdr:col>
      <xdr:colOff>329014</xdr:colOff>
      <xdr:row>175</xdr:row>
      <xdr:rowOff>54568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B9064B-0B18-3848-76C2-F92021C99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481414</xdr:colOff>
      <xdr:row>157</xdr:row>
      <xdr:rowOff>67268</xdr:rowOff>
    </xdr:from>
    <xdr:to>
      <xdr:col>6</xdr:col>
      <xdr:colOff>697314</xdr:colOff>
      <xdr:row>175</xdr:row>
      <xdr:rowOff>67268</xdr:rowOff>
    </xdr:to>
    <xdr:graphicFrame macro="">
      <xdr:nvGraphicFramePr>
        <xdr:cNvPr id="52" name="Chart 93">
          <a:extLst>
            <a:ext uri="{FF2B5EF4-FFF2-40B4-BE49-F238E27FC236}">
              <a16:creationId xmlns:a16="http://schemas.microsoft.com/office/drawing/2014/main" id="{22DF0BD8-9EB8-6A17-00C8-295BF1AFD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1002114</xdr:colOff>
      <xdr:row>157</xdr:row>
      <xdr:rowOff>118068</xdr:rowOff>
    </xdr:from>
    <xdr:to>
      <xdr:col>10</xdr:col>
      <xdr:colOff>189314</xdr:colOff>
      <xdr:row>175</xdr:row>
      <xdr:rowOff>118068</xdr:rowOff>
    </xdr:to>
    <xdr:graphicFrame macro="">
      <xdr:nvGraphicFramePr>
        <xdr:cNvPr id="104" name="Chart 58">
          <a:extLst>
            <a:ext uri="{FF2B5EF4-FFF2-40B4-BE49-F238E27FC236}">
              <a16:creationId xmlns:a16="http://schemas.microsoft.com/office/drawing/2014/main" id="{4F8DDFA9-C351-F81B-F797-286D8042B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417914</xdr:colOff>
      <xdr:row>157</xdr:row>
      <xdr:rowOff>92668</xdr:rowOff>
    </xdr:from>
    <xdr:to>
      <xdr:col>13</xdr:col>
      <xdr:colOff>722714</xdr:colOff>
      <xdr:row>175</xdr:row>
      <xdr:rowOff>92668</xdr:rowOff>
    </xdr:to>
    <xdr:graphicFrame macro="">
      <xdr:nvGraphicFramePr>
        <xdr:cNvPr id="147" name="Chart 102">
          <a:extLst>
            <a:ext uri="{FF2B5EF4-FFF2-40B4-BE49-F238E27FC236}">
              <a16:creationId xmlns:a16="http://schemas.microsoft.com/office/drawing/2014/main" id="{8415C07B-7D23-1442-97BB-E1A4812DC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6115D-0AB7-EF44-B913-27FB9D61DF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f8186d7-294f-49d9-becb-109d708b844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grupoaval.com/wps/portal/grupo-aval/aval/portal-financiero/indicadores/tasas-intere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rupoaval.com/wps/portal/grupo-aval/aval/portal-financiero/renta-fija/tes/datos-historicos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upoaval.com/wps/portal/grupo-aval/aval/portal-financiero/renta-fija/tes/curva-rentabilidad" TargetMode="External"/><Relationship Id="rId2" Type="http://schemas.openxmlformats.org/officeDocument/2006/relationships/hyperlink" Target="https://www.grupoaval.com/wps/portal/grupo-aval/aval/portal-financiero/renta-fija/yankees" TargetMode="External"/><Relationship Id="rId1" Type="http://schemas.openxmlformats.org/officeDocument/2006/relationships/hyperlink" Target="https://www.bloomberg.com/markets/rates-bonds/government-bonds/us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8436-0EAC-2B49-A1DA-963BB4B88758}">
  <dimension ref="B1:H41"/>
  <sheetViews>
    <sheetView showGridLines="0" zoomScale="90" zoomScaleNormal="90" workbookViewId="0">
      <selection activeCell="C35" sqref="C35"/>
    </sheetView>
  </sheetViews>
  <sheetFormatPr baseColWidth="10" defaultColWidth="11" defaultRowHeight="16" x14ac:dyDescent="0.2"/>
  <cols>
    <col min="2" max="2" width="47" bestFit="1" customWidth="1"/>
    <col min="3" max="3" width="22.6640625" customWidth="1"/>
    <col min="4" max="4" width="28.6640625" bestFit="1" customWidth="1"/>
    <col min="5" max="5" width="22.6640625" customWidth="1"/>
    <col min="6" max="6" width="29.5" customWidth="1"/>
    <col min="8" max="8" width="32.5" bestFit="1" customWidth="1"/>
    <col min="9" max="9" width="10.1640625" bestFit="1" customWidth="1"/>
    <col min="10" max="10" width="15.1640625" customWidth="1"/>
  </cols>
  <sheetData>
    <row r="1" spans="2:8" ht="372" x14ac:dyDescent="0.2">
      <c r="B1" s="26" t="s">
        <v>0</v>
      </c>
      <c r="C1" t="s">
        <v>1</v>
      </c>
      <c r="H1" s="26"/>
    </row>
    <row r="2" spans="2:8" x14ac:dyDescent="0.2">
      <c r="B2" s="26"/>
      <c r="H2" s="26"/>
    </row>
    <row r="3" spans="2:8" x14ac:dyDescent="0.2">
      <c r="B3" s="140" t="s">
        <v>2</v>
      </c>
      <c r="C3" s="140"/>
      <c r="H3" s="26"/>
    </row>
    <row r="4" spans="2:8" x14ac:dyDescent="0.2">
      <c r="B4" s="1" t="s">
        <v>3</v>
      </c>
      <c r="C4" s="16" t="s">
        <v>4</v>
      </c>
      <c r="D4" s="23" t="s">
        <v>5</v>
      </c>
      <c r="E4" s="23" t="s">
        <v>6</v>
      </c>
      <c r="F4" s="23" t="s">
        <v>7</v>
      </c>
    </row>
    <row r="5" spans="2:8" x14ac:dyDescent="0.2">
      <c r="B5" s="2" t="s">
        <v>8</v>
      </c>
      <c r="C5" s="17">
        <v>8500</v>
      </c>
      <c r="D5" s="27">
        <v>0.1</v>
      </c>
      <c r="E5" s="29">
        <v>20</v>
      </c>
      <c r="F5" s="29" t="s">
        <v>9</v>
      </c>
    </row>
    <row r="6" spans="2:8" x14ac:dyDescent="0.2">
      <c r="B6" s="5" t="s">
        <v>10</v>
      </c>
      <c r="C6" s="18">
        <v>2500</v>
      </c>
      <c r="D6" s="28">
        <v>0.1</v>
      </c>
      <c r="E6" s="30">
        <f>1/D6</f>
        <v>10</v>
      </c>
      <c r="F6" s="30" t="s">
        <v>11</v>
      </c>
    </row>
    <row r="7" spans="2:8" x14ac:dyDescent="0.2">
      <c r="B7" s="2" t="s">
        <v>12</v>
      </c>
      <c r="C7" s="17">
        <v>900</v>
      </c>
      <c r="D7" s="40">
        <v>2.1999999999999999E-2</v>
      </c>
      <c r="E7" s="29">
        <f>1/D7</f>
        <v>45.45454545454546</v>
      </c>
      <c r="F7" s="29" t="s">
        <v>11</v>
      </c>
    </row>
    <row r="8" spans="2:8" x14ac:dyDescent="0.2">
      <c r="B8" s="5" t="s">
        <v>13</v>
      </c>
      <c r="C8" s="18">
        <v>850</v>
      </c>
      <c r="D8" s="28" t="s">
        <v>14</v>
      </c>
      <c r="E8" s="30">
        <v>20</v>
      </c>
      <c r="F8" s="29" t="s">
        <v>9</v>
      </c>
    </row>
    <row r="9" spans="2:8" ht="17" thickBot="1" x14ac:dyDescent="0.25">
      <c r="B9" s="2" t="s">
        <v>15</v>
      </c>
      <c r="C9" s="17">
        <v>1250</v>
      </c>
      <c r="D9" s="27" t="s">
        <v>14</v>
      </c>
      <c r="E9" s="30">
        <v>20</v>
      </c>
      <c r="F9" s="29" t="s">
        <v>9</v>
      </c>
    </row>
    <row r="10" spans="2:8" ht="17" thickBot="1" x14ac:dyDescent="0.25">
      <c r="B10" s="13" t="s">
        <v>16</v>
      </c>
      <c r="C10" s="19">
        <f>SUM(C5:C9)</f>
        <v>14000</v>
      </c>
      <c r="D10" s="24"/>
      <c r="E10" s="24"/>
      <c r="F10" s="24"/>
    </row>
    <row r="11" spans="2:8" x14ac:dyDescent="0.2">
      <c r="B11" s="1" t="s">
        <v>3</v>
      </c>
      <c r="C11" s="16" t="s">
        <v>4</v>
      </c>
      <c r="D11" s="16" t="s">
        <v>17</v>
      </c>
    </row>
    <row r="12" spans="2:8" x14ac:dyDescent="0.2">
      <c r="B12" s="2" t="s">
        <v>18</v>
      </c>
      <c r="C12" s="67">
        <v>5000</v>
      </c>
      <c r="D12" s="2" t="s">
        <v>19</v>
      </c>
    </row>
    <row r="13" spans="2:8" x14ac:dyDescent="0.2">
      <c r="B13" s="5" t="s">
        <v>20</v>
      </c>
      <c r="C13" s="68">
        <v>2500</v>
      </c>
      <c r="D13" s="5" t="s">
        <v>19</v>
      </c>
    </row>
    <row r="14" spans="2:8" ht="17" thickBot="1" x14ac:dyDescent="0.25">
      <c r="B14" s="2" t="s">
        <v>21</v>
      </c>
      <c r="C14" s="67">
        <v>420</v>
      </c>
      <c r="D14" s="2" t="s">
        <v>19</v>
      </c>
    </row>
    <row r="15" spans="2:8" ht="17" thickBot="1" x14ac:dyDescent="0.25">
      <c r="B15" s="13" t="s">
        <v>22</v>
      </c>
      <c r="C15" s="19">
        <f>SUM(C12:C14)</f>
        <v>7920</v>
      </c>
    </row>
    <row r="17" spans="2:5" x14ac:dyDescent="0.2">
      <c r="B17" t="s">
        <v>23</v>
      </c>
      <c r="C17" s="10">
        <v>0.35</v>
      </c>
    </row>
    <row r="18" spans="2:5" ht="17" x14ac:dyDescent="0.2">
      <c r="B18" t="s">
        <v>24</v>
      </c>
      <c r="C18" s="14">
        <v>20000</v>
      </c>
      <c r="D18" t="s">
        <v>25</v>
      </c>
      <c r="E18" s="38" t="s">
        <v>26</v>
      </c>
    </row>
    <row r="19" spans="2:5" ht="17" x14ac:dyDescent="0.2">
      <c r="B19" t="s">
        <v>27</v>
      </c>
      <c r="C19" s="21">
        <f>C20*0.1</f>
        <v>2800</v>
      </c>
      <c r="D19" t="s">
        <v>25</v>
      </c>
      <c r="E19" s="38" t="s">
        <v>28</v>
      </c>
    </row>
    <row r="20" spans="2:5" ht="17" customHeight="1" x14ac:dyDescent="0.2">
      <c r="B20" t="s">
        <v>29</v>
      </c>
      <c r="C20" s="14">
        <v>28000</v>
      </c>
      <c r="D20" t="s">
        <v>25</v>
      </c>
      <c r="E20" s="141" t="s">
        <v>30</v>
      </c>
    </row>
    <row r="21" spans="2:5" ht="17" customHeight="1" x14ac:dyDescent="0.2">
      <c r="B21" t="s">
        <v>31</v>
      </c>
      <c r="C21" s="11">
        <v>5.5E-2</v>
      </c>
      <c r="D21" t="s">
        <v>32</v>
      </c>
      <c r="E21" s="141"/>
    </row>
    <row r="22" spans="2:5" x14ac:dyDescent="0.2">
      <c r="B22" s="132" t="s">
        <v>33</v>
      </c>
      <c r="C22" s="15">
        <v>1850000</v>
      </c>
      <c r="D22" t="s">
        <v>34</v>
      </c>
      <c r="E22" s="141"/>
    </row>
    <row r="23" spans="2:5" x14ac:dyDescent="0.2">
      <c r="B23" t="s">
        <v>35</v>
      </c>
      <c r="C23" s="10">
        <v>0.02</v>
      </c>
      <c r="E23" s="141"/>
    </row>
    <row r="24" spans="2:5" ht="17" x14ac:dyDescent="0.2">
      <c r="B24" t="s">
        <v>36</v>
      </c>
      <c r="C24" s="36">
        <v>0.7</v>
      </c>
      <c r="D24" t="s">
        <v>37</v>
      </c>
      <c r="E24" s="38" t="s">
        <v>38</v>
      </c>
    </row>
    <row r="25" spans="2:5" x14ac:dyDescent="0.2">
      <c r="B25" t="s">
        <v>39</v>
      </c>
      <c r="C25" s="10">
        <v>0.1</v>
      </c>
      <c r="D25" t="s">
        <v>40</v>
      </c>
      <c r="E25" s="141" t="s">
        <v>41</v>
      </c>
    </row>
    <row r="26" spans="2:5" ht="17" customHeight="1" x14ac:dyDescent="0.2">
      <c r="B26" t="s">
        <v>42</v>
      </c>
      <c r="C26" s="10">
        <v>0.25</v>
      </c>
      <c r="D26" t="s">
        <v>43</v>
      </c>
      <c r="E26" s="141"/>
    </row>
    <row r="27" spans="2:5" x14ac:dyDescent="0.2">
      <c r="B27" t="s">
        <v>44</v>
      </c>
      <c r="C27" s="11">
        <v>0.01</v>
      </c>
      <c r="D27" t="s">
        <v>43</v>
      </c>
      <c r="E27" s="141"/>
    </row>
    <row r="28" spans="2:5" ht="17" customHeight="1" x14ac:dyDescent="0.2">
      <c r="B28" s="133" t="s">
        <v>45</v>
      </c>
      <c r="C28" s="130">
        <v>45</v>
      </c>
      <c r="D28" s="39"/>
      <c r="E28" s="141" t="s">
        <v>46</v>
      </c>
    </row>
    <row r="29" spans="2:5" x14ac:dyDescent="0.2">
      <c r="B29" s="134" t="s">
        <v>47</v>
      </c>
      <c r="C29" s="131">
        <v>0</v>
      </c>
      <c r="D29" s="39"/>
      <c r="E29" s="141"/>
    </row>
    <row r="30" spans="2:5" x14ac:dyDescent="0.2">
      <c r="B30" t="s">
        <v>48</v>
      </c>
      <c r="C30" s="20">
        <v>6500000</v>
      </c>
      <c r="D30" s="20" t="s">
        <v>25</v>
      </c>
      <c r="E30" s="141"/>
    </row>
    <row r="31" spans="2:5" ht="16.25" customHeight="1" x14ac:dyDescent="0.2">
      <c r="B31" t="s">
        <v>49</v>
      </c>
      <c r="C31" s="11">
        <v>0.06</v>
      </c>
      <c r="D31" s="11"/>
      <c r="E31" s="141"/>
    </row>
    <row r="32" spans="2:5" x14ac:dyDescent="0.2">
      <c r="B32" t="s">
        <v>50</v>
      </c>
      <c r="C32" s="69">
        <v>120</v>
      </c>
      <c r="D32" t="s">
        <v>51</v>
      </c>
      <c r="E32" s="141"/>
    </row>
    <row r="33" spans="2:5" x14ac:dyDescent="0.2">
      <c r="B33" t="s">
        <v>52</v>
      </c>
      <c r="C33" s="70">
        <v>0.02</v>
      </c>
      <c r="D33" s="39"/>
      <c r="E33" s="141"/>
    </row>
    <row r="34" spans="2:5" x14ac:dyDescent="0.2">
      <c r="B34" t="s">
        <v>53</v>
      </c>
      <c r="C34" s="10">
        <f>1-C35</f>
        <v>0.19999999999999996</v>
      </c>
      <c r="D34" s="10" t="s">
        <v>54</v>
      </c>
      <c r="E34" s="141"/>
    </row>
    <row r="35" spans="2:5" ht="16.25" customHeight="1" x14ac:dyDescent="0.2">
      <c r="B35" t="s">
        <v>55</v>
      </c>
      <c r="C35" s="36">
        <v>0.8</v>
      </c>
      <c r="D35" t="s">
        <v>56</v>
      </c>
      <c r="E35" s="141"/>
    </row>
    <row r="37" spans="2:5" x14ac:dyDescent="0.2">
      <c r="C37" s="125"/>
    </row>
    <row r="38" spans="2:5" ht="16.25" customHeight="1" x14ac:dyDescent="0.2">
      <c r="C38" s="125"/>
    </row>
    <row r="39" spans="2:5" x14ac:dyDescent="0.2">
      <c r="C39" s="125"/>
    </row>
    <row r="40" spans="2:5" x14ac:dyDescent="0.2">
      <c r="C40" s="125"/>
      <c r="E40" s="38"/>
    </row>
    <row r="41" spans="2:5" x14ac:dyDescent="0.2">
      <c r="C41" s="10"/>
      <c r="E41" s="38"/>
    </row>
  </sheetData>
  <mergeCells count="4">
    <mergeCell ref="B3:C3"/>
    <mergeCell ref="E28:E35"/>
    <mergeCell ref="E20:E23"/>
    <mergeCell ref="E25:E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4470-A839-4E40-B424-464F3A5A9F97}">
  <dimension ref="A2:I24"/>
  <sheetViews>
    <sheetView zoomScale="90" zoomScaleNormal="90" workbookViewId="0">
      <selection activeCell="B3" sqref="B3"/>
    </sheetView>
  </sheetViews>
  <sheetFormatPr baseColWidth="10" defaultColWidth="11" defaultRowHeight="16" x14ac:dyDescent="0.2"/>
  <cols>
    <col min="1" max="1" width="32.6640625" bestFit="1" customWidth="1"/>
    <col min="2" max="2" width="23.1640625" customWidth="1"/>
    <col min="3" max="3" width="22.1640625" customWidth="1"/>
    <col min="4" max="4" width="27.5" customWidth="1"/>
    <col min="5" max="5" width="23.5" customWidth="1"/>
    <col min="7" max="7" width="32.6640625" bestFit="1" customWidth="1"/>
    <col min="8" max="8" width="17" customWidth="1"/>
    <col min="9" max="9" width="19.6640625" customWidth="1"/>
  </cols>
  <sheetData>
    <row r="2" spans="1:9" ht="28" x14ac:dyDescent="0.2">
      <c r="A2" s="1" t="s">
        <v>57</v>
      </c>
      <c r="B2" s="1" t="s">
        <v>58</v>
      </c>
      <c r="C2" s="1" t="s">
        <v>59</v>
      </c>
      <c r="D2" s="25" t="s">
        <v>60</v>
      </c>
      <c r="E2" s="25" t="s">
        <v>61</v>
      </c>
    </row>
    <row r="3" spans="1:9" x14ac:dyDescent="0.2">
      <c r="A3" s="2" t="s">
        <v>62</v>
      </c>
      <c r="B3" s="3">
        <v>1</v>
      </c>
      <c r="C3" s="4">
        <v>12</v>
      </c>
      <c r="D3" s="4">
        <f>C3*12*B3</f>
        <v>144</v>
      </c>
      <c r="E3" s="4" t="s">
        <v>63</v>
      </c>
      <c r="G3" s="2" t="s">
        <v>64</v>
      </c>
      <c r="H3" s="15">
        <f>SUMIF(E3:E17,"SI",D3:D17)*1000000</f>
        <v>510000000</v>
      </c>
      <c r="I3" t="s">
        <v>4</v>
      </c>
    </row>
    <row r="4" spans="1:9" x14ac:dyDescent="0.2">
      <c r="A4" s="5" t="s">
        <v>65</v>
      </c>
      <c r="B4" s="6">
        <v>2</v>
      </c>
      <c r="C4" s="7">
        <v>9.5</v>
      </c>
      <c r="D4" s="4">
        <f t="shared" ref="D4:D17" si="0">C4*12*B4</f>
        <v>228</v>
      </c>
      <c r="E4" s="7" t="s">
        <v>19</v>
      </c>
      <c r="G4" s="2" t="s">
        <v>66</v>
      </c>
      <c r="H4" s="15">
        <f>SUMIF(E3:E17,"NO",D3:D17)*1000000</f>
        <v>1308000000</v>
      </c>
      <c r="I4" t="s">
        <v>4</v>
      </c>
    </row>
    <row r="5" spans="1:9" x14ac:dyDescent="0.2">
      <c r="A5" s="2" t="s">
        <v>67</v>
      </c>
      <c r="B5" s="3">
        <v>1</v>
      </c>
      <c r="C5" s="4">
        <v>3.5</v>
      </c>
      <c r="D5" s="4">
        <f t="shared" si="0"/>
        <v>42</v>
      </c>
      <c r="E5" s="4" t="s">
        <v>63</v>
      </c>
    </row>
    <row r="6" spans="1:9" x14ac:dyDescent="0.2">
      <c r="A6" s="5" t="s">
        <v>68</v>
      </c>
      <c r="B6" s="6">
        <v>1</v>
      </c>
      <c r="C6" s="7">
        <v>12</v>
      </c>
      <c r="D6" s="4">
        <f t="shared" si="0"/>
        <v>144</v>
      </c>
      <c r="E6" s="7" t="s">
        <v>63</v>
      </c>
    </row>
    <row r="7" spans="1:9" x14ac:dyDescent="0.2">
      <c r="A7" s="2" t="s">
        <v>69</v>
      </c>
      <c r="B7" s="3">
        <v>1</v>
      </c>
      <c r="C7" s="4">
        <v>8</v>
      </c>
      <c r="D7" s="4">
        <f t="shared" si="0"/>
        <v>96</v>
      </c>
      <c r="E7" s="4" t="s">
        <v>63</v>
      </c>
    </row>
    <row r="8" spans="1:9" x14ac:dyDescent="0.2">
      <c r="A8" s="5" t="s">
        <v>70</v>
      </c>
      <c r="B8" s="6">
        <v>1</v>
      </c>
      <c r="C8" s="7">
        <v>8</v>
      </c>
      <c r="D8" s="4">
        <f>C8*12*B8</f>
        <v>96</v>
      </c>
      <c r="E8" s="7" t="s">
        <v>63</v>
      </c>
    </row>
    <row r="9" spans="1:9" x14ac:dyDescent="0.2">
      <c r="A9" s="2" t="s">
        <v>71</v>
      </c>
      <c r="B9" s="3">
        <v>1</v>
      </c>
      <c r="C9" s="4">
        <v>7.5</v>
      </c>
      <c r="D9" s="4">
        <f t="shared" si="0"/>
        <v>90</v>
      </c>
      <c r="E9" s="4" t="s">
        <v>19</v>
      </c>
    </row>
    <row r="10" spans="1:9" x14ac:dyDescent="0.2">
      <c r="A10" s="5" t="s">
        <v>72</v>
      </c>
      <c r="B10" s="6">
        <v>1</v>
      </c>
      <c r="C10" s="7">
        <v>4</v>
      </c>
      <c r="D10" s="4">
        <f t="shared" si="0"/>
        <v>48</v>
      </c>
      <c r="E10" s="7" t="s">
        <v>63</v>
      </c>
    </row>
    <row r="11" spans="1:9" x14ac:dyDescent="0.2">
      <c r="A11" s="2" t="s">
        <v>73</v>
      </c>
      <c r="B11" s="3">
        <v>4</v>
      </c>
      <c r="C11" s="4">
        <v>4</v>
      </c>
      <c r="D11" s="4">
        <f t="shared" si="0"/>
        <v>192</v>
      </c>
      <c r="E11" s="4" t="s">
        <v>19</v>
      </c>
    </row>
    <row r="12" spans="1:9" x14ac:dyDescent="0.2">
      <c r="A12" s="5" t="s">
        <v>74</v>
      </c>
      <c r="B12" s="6">
        <v>1</v>
      </c>
      <c r="C12" s="7">
        <v>3.5</v>
      </c>
      <c r="D12" s="4">
        <f t="shared" si="0"/>
        <v>42</v>
      </c>
      <c r="E12" s="7" t="s">
        <v>63</v>
      </c>
    </row>
    <row r="13" spans="1:9" x14ac:dyDescent="0.2">
      <c r="A13" s="2" t="s">
        <v>75</v>
      </c>
      <c r="B13" s="3">
        <v>1</v>
      </c>
      <c r="C13" s="4">
        <v>3.5</v>
      </c>
      <c r="D13" s="4">
        <f t="shared" si="0"/>
        <v>42</v>
      </c>
      <c r="E13" s="4" t="s">
        <v>63</v>
      </c>
    </row>
    <row r="14" spans="1:9" x14ac:dyDescent="0.2">
      <c r="A14" s="5" t="s">
        <v>76</v>
      </c>
      <c r="B14" s="6">
        <v>1</v>
      </c>
      <c r="C14" s="7">
        <v>6</v>
      </c>
      <c r="D14" s="4">
        <f t="shared" si="0"/>
        <v>72</v>
      </c>
      <c r="E14" s="7" t="s">
        <v>63</v>
      </c>
    </row>
    <row r="15" spans="1:9" x14ac:dyDescent="0.2">
      <c r="A15" s="2" t="s">
        <v>77</v>
      </c>
      <c r="B15" s="3">
        <v>1</v>
      </c>
      <c r="C15" s="4">
        <v>3.5</v>
      </c>
      <c r="D15" s="4">
        <f t="shared" si="0"/>
        <v>42</v>
      </c>
      <c r="E15" s="4" t="s">
        <v>63</v>
      </c>
    </row>
    <row r="16" spans="1:9" x14ac:dyDescent="0.2">
      <c r="A16" s="5" t="s">
        <v>78</v>
      </c>
      <c r="B16" s="6">
        <v>5</v>
      </c>
      <c r="C16" s="7">
        <v>7</v>
      </c>
      <c r="D16" s="4">
        <f t="shared" si="0"/>
        <v>420</v>
      </c>
      <c r="E16" s="7" t="s">
        <v>63</v>
      </c>
    </row>
    <row r="17" spans="1:5" ht="17" thickBot="1" x14ac:dyDescent="0.25">
      <c r="A17" s="2" t="s">
        <v>79</v>
      </c>
      <c r="B17" s="3">
        <v>4</v>
      </c>
      <c r="C17" s="4">
        <v>2.5</v>
      </c>
      <c r="D17" s="4">
        <f t="shared" si="0"/>
        <v>120</v>
      </c>
      <c r="E17" s="4" t="s">
        <v>63</v>
      </c>
    </row>
    <row r="18" spans="1:5" ht="17" thickBot="1" x14ac:dyDescent="0.25">
      <c r="A18" s="8" t="s">
        <v>22</v>
      </c>
      <c r="B18" s="8">
        <f>SUM(B3:B17)</f>
        <v>26</v>
      </c>
      <c r="C18" s="9">
        <f>SUM(C3:C17)</f>
        <v>94.5</v>
      </c>
      <c r="D18" s="9">
        <f>SUM(D3:D17)</f>
        <v>1818</v>
      </c>
    </row>
    <row r="20" spans="1:5" x14ac:dyDescent="0.2">
      <c r="A20" s="1" t="s">
        <v>80</v>
      </c>
      <c r="B20" s="3">
        <v>4.5</v>
      </c>
    </row>
    <row r="22" spans="1:5" x14ac:dyDescent="0.2">
      <c r="A22" t="s">
        <v>81</v>
      </c>
    </row>
    <row r="24" spans="1:5" x14ac:dyDescent="0.2">
      <c r="A24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1F8C5-3C10-1D4D-9A7B-E47831434699}">
  <dimension ref="B2:D6"/>
  <sheetViews>
    <sheetView workbookViewId="0">
      <selection activeCell="C6" sqref="C6"/>
    </sheetView>
  </sheetViews>
  <sheetFormatPr baseColWidth="10" defaultColWidth="11" defaultRowHeight="16" x14ac:dyDescent="0.2"/>
  <cols>
    <col min="2" max="2" width="22.5" customWidth="1"/>
    <col min="3" max="3" width="18.5" customWidth="1"/>
    <col min="4" max="4" width="15.1640625" customWidth="1"/>
  </cols>
  <sheetData>
    <row r="2" spans="2:4" x14ac:dyDescent="0.2">
      <c r="B2" t="s">
        <v>104</v>
      </c>
      <c r="C2">
        <v>5000</v>
      </c>
      <c r="D2" t="s">
        <v>105</v>
      </c>
    </row>
    <row r="3" spans="2:4" x14ac:dyDescent="0.2">
      <c r="B3" t="s">
        <v>106</v>
      </c>
      <c r="C3">
        <v>2500</v>
      </c>
      <c r="D3" t="s">
        <v>105</v>
      </c>
    </row>
    <row r="4" spans="2:4" x14ac:dyDescent="0.2">
      <c r="B4" t="s">
        <v>107</v>
      </c>
      <c r="C4">
        <v>420</v>
      </c>
      <c r="D4" t="s">
        <v>105</v>
      </c>
    </row>
    <row r="6" spans="2:4" x14ac:dyDescent="0.2">
      <c r="B6" t="s">
        <v>22</v>
      </c>
      <c r="C6">
        <f>SUM(C2:C4)</f>
        <v>7920</v>
      </c>
      <c r="D6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60208-3971-42E1-858D-74A80007E1F2}">
  <dimension ref="A2:O92"/>
  <sheetViews>
    <sheetView topLeftCell="A32" workbookViewId="0">
      <selection activeCell="E5" sqref="E5"/>
    </sheetView>
  </sheetViews>
  <sheetFormatPr baseColWidth="10" defaultColWidth="11" defaultRowHeight="16" x14ac:dyDescent="0.2"/>
  <cols>
    <col min="1" max="1" width="29.1640625" customWidth="1"/>
    <col min="2" max="2" width="16.6640625" customWidth="1"/>
    <col min="3" max="3" width="21.1640625" customWidth="1"/>
    <col min="4" max="4" width="30.1640625" customWidth="1"/>
    <col min="5" max="5" width="16.1640625" customWidth="1"/>
    <col min="6" max="6" width="15.5" customWidth="1"/>
    <col min="7" max="7" width="16" bestFit="1" customWidth="1"/>
    <col min="11" max="11" width="16.6640625" bestFit="1" customWidth="1"/>
    <col min="12" max="14" width="15.6640625" customWidth="1"/>
    <col min="15" max="15" width="16.6640625" bestFit="1" customWidth="1"/>
  </cols>
  <sheetData>
    <row r="2" spans="1:9" x14ac:dyDescent="0.2">
      <c r="E2" t="s">
        <v>108</v>
      </c>
      <c r="F2" t="s">
        <v>109</v>
      </c>
    </row>
    <row r="3" spans="1:9" x14ac:dyDescent="0.2">
      <c r="A3" t="s">
        <v>110</v>
      </c>
      <c r="D3" t="s">
        <v>111</v>
      </c>
      <c r="E3" s="41">
        <v>8.48E-2</v>
      </c>
      <c r="F3" s="60" t="s">
        <v>112</v>
      </c>
      <c r="G3" s="12"/>
    </row>
    <row r="4" spans="1:9" x14ac:dyDescent="0.2">
      <c r="A4" t="s">
        <v>113</v>
      </c>
      <c r="D4" t="s">
        <v>114</v>
      </c>
      <c r="E4" s="41">
        <v>0.1898</v>
      </c>
      <c r="F4" s="42"/>
      <c r="G4" s="42"/>
      <c r="H4" s="42"/>
      <c r="I4" s="42"/>
    </row>
    <row r="5" spans="1:9" x14ac:dyDescent="0.2">
      <c r="A5" t="s">
        <v>115</v>
      </c>
      <c r="D5" t="s">
        <v>116</v>
      </c>
      <c r="E5" s="41">
        <v>4.7500000000000001E-2</v>
      </c>
      <c r="F5" s="42"/>
      <c r="G5" s="42"/>
      <c r="H5" s="42"/>
      <c r="I5" s="42"/>
    </row>
    <row r="6" spans="1:9" x14ac:dyDescent="0.2">
      <c r="A6" t="s">
        <v>117</v>
      </c>
      <c r="D6" t="s">
        <v>118</v>
      </c>
      <c r="E6" s="41">
        <v>4.9799999999999997E-2</v>
      </c>
      <c r="F6" s="42"/>
      <c r="G6" s="42"/>
      <c r="H6" s="42"/>
      <c r="I6" s="42"/>
    </row>
    <row r="7" spans="1:9" x14ac:dyDescent="0.2">
      <c r="A7" t="s">
        <v>119</v>
      </c>
      <c r="D7" t="s">
        <v>120</v>
      </c>
      <c r="E7" s="41">
        <v>0.1993</v>
      </c>
      <c r="F7" s="42"/>
      <c r="G7" s="42"/>
      <c r="H7" s="42"/>
      <c r="I7" s="42"/>
    </row>
    <row r="8" spans="1:9" x14ac:dyDescent="0.2">
      <c r="A8" t="s">
        <v>121</v>
      </c>
      <c r="D8" t="s">
        <v>122</v>
      </c>
      <c r="E8" s="41">
        <v>0.2147</v>
      </c>
      <c r="F8" s="42"/>
      <c r="G8" s="42"/>
      <c r="H8" s="42"/>
      <c r="I8" s="42"/>
    </row>
    <row r="9" spans="1:9" x14ac:dyDescent="0.2">
      <c r="A9" t="s">
        <v>123</v>
      </c>
    </row>
    <row r="10" spans="1:9" x14ac:dyDescent="0.2">
      <c r="A10" t="s">
        <v>124</v>
      </c>
    </row>
    <row r="12" spans="1:9" x14ac:dyDescent="0.2">
      <c r="A12" t="s">
        <v>125</v>
      </c>
      <c r="E12" t="s">
        <v>108</v>
      </c>
      <c r="F12" t="s">
        <v>109</v>
      </c>
    </row>
    <row r="13" spans="1:9" x14ac:dyDescent="0.2">
      <c r="A13" t="s">
        <v>113</v>
      </c>
      <c r="D13" t="s">
        <v>126</v>
      </c>
      <c r="E13" s="58">
        <v>0.10516</v>
      </c>
      <c r="F13" t="s">
        <v>127</v>
      </c>
    </row>
    <row r="14" spans="1:9" x14ac:dyDescent="0.2">
      <c r="A14" t="s">
        <v>128</v>
      </c>
      <c r="D14" t="s">
        <v>129</v>
      </c>
      <c r="E14" s="59">
        <f>+E13+10.5%</f>
        <v>0.21016000000000001</v>
      </c>
    </row>
    <row r="15" spans="1:9" x14ac:dyDescent="0.2">
      <c r="A15" t="s">
        <v>130</v>
      </c>
      <c r="D15" t="s">
        <v>118</v>
      </c>
      <c r="E15" s="59">
        <f>+E14/4</f>
        <v>5.2540000000000003E-2</v>
      </c>
    </row>
    <row r="16" spans="1:9" x14ac:dyDescent="0.2">
      <c r="A16" t="s">
        <v>131</v>
      </c>
      <c r="D16" t="s">
        <v>120</v>
      </c>
      <c r="E16" s="59">
        <f>+E13+10.5%</f>
        <v>0.21016000000000001</v>
      </c>
    </row>
    <row r="17" spans="1:5" x14ac:dyDescent="0.2">
      <c r="A17" t="s">
        <v>132</v>
      </c>
      <c r="D17" t="s">
        <v>122</v>
      </c>
      <c r="E17" s="12">
        <f>(1+E15)^4-1</f>
        <v>0.22731046620129192</v>
      </c>
    </row>
    <row r="19" spans="1:5" x14ac:dyDescent="0.2">
      <c r="A19" t="s">
        <v>133</v>
      </c>
    </row>
    <row r="20" spans="1:5" x14ac:dyDescent="0.2">
      <c r="A20" t="s">
        <v>113</v>
      </c>
    </row>
    <row r="21" spans="1:5" x14ac:dyDescent="0.2">
      <c r="A21" t="s">
        <v>134</v>
      </c>
    </row>
    <row r="22" spans="1:5" x14ac:dyDescent="0.2">
      <c r="A22" t="s">
        <v>135</v>
      </c>
    </row>
    <row r="23" spans="1:5" x14ac:dyDescent="0.2">
      <c r="A23" t="s">
        <v>136</v>
      </c>
    </row>
    <row r="24" spans="1:5" x14ac:dyDescent="0.2">
      <c r="A24" t="s">
        <v>137</v>
      </c>
    </row>
    <row r="26" spans="1:5" ht="17" thickBot="1" x14ac:dyDescent="0.25">
      <c r="A26" s="142" t="s">
        <v>138</v>
      </c>
      <c r="B26" s="142"/>
    </row>
    <row r="27" spans="1:5" x14ac:dyDescent="0.2">
      <c r="A27" s="43" t="s">
        <v>139</v>
      </c>
      <c r="B27" s="44" t="s">
        <v>140</v>
      </c>
    </row>
    <row r="28" spans="1:5" x14ac:dyDescent="0.2">
      <c r="A28" s="45" t="s">
        <v>141</v>
      </c>
      <c r="B28" s="46">
        <f>+Datos!C10+Datos!C15</f>
        <v>21920</v>
      </c>
    </row>
    <row r="29" spans="1:5" x14ac:dyDescent="0.2">
      <c r="A29" s="45" t="s">
        <v>142</v>
      </c>
      <c r="B29" s="47">
        <v>0.1</v>
      </c>
    </row>
    <row r="30" spans="1:5" ht="17" thickBot="1" x14ac:dyDescent="0.25">
      <c r="A30" s="48" t="s">
        <v>143</v>
      </c>
      <c r="B30" s="49">
        <f>+B28*B29</f>
        <v>2192</v>
      </c>
    </row>
    <row r="31" spans="1:5" ht="17" thickBot="1" x14ac:dyDescent="0.25"/>
    <row r="32" spans="1:5" ht="17" thickBot="1" x14ac:dyDescent="0.25">
      <c r="A32" s="50" t="s">
        <v>139</v>
      </c>
      <c r="B32" s="51" t="s">
        <v>144</v>
      </c>
      <c r="C32" s="51" t="s">
        <v>145</v>
      </c>
      <c r="D32" s="52" t="s">
        <v>146</v>
      </c>
    </row>
    <row r="33" spans="1:15" x14ac:dyDescent="0.2">
      <c r="A33" s="45" t="s">
        <v>147</v>
      </c>
      <c r="B33">
        <v>10</v>
      </c>
      <c r="C33">
        <v>10</v>
      </c>
      <c r="D33" s="53">
        <v>10</v>
      </c>
    </row>
    <row r="34" spans="1:15" x14ac:dyDescent="0.2">
      <c r="A34" s="45" t="s">
        <v>148</v>
      </c>
      <c r="B34" t="s">
        <v>149</v>
      </c>
      <c r="C34" t="s">
        <v>150</v>
      </c>
      <c r="D34" s="53" t="s">
        <v>151</v>
      </c>
    </row>
    <row r="35" spans="1:15" x14ac:dyDescent="0.2">
      <c r="A35" s="45" t="s">
        <v>152</v>
      </c>
      <c r="B35" s="41">
        <f>+E8</f>
        <v>0.2147</v>
      </c>
      <c r="C35" s="41">
        <f>+E17</f>
        <v>0.22731046620129192</v>
      </c>
      <c r="D35" s="53" t="s">
        <v>153</v>
      </c>
    </row>
    <row r="36" spans="1:15" x14ac:dyDescent="0.2">
      <c r="A36" s="45" t="s">
        <v>154</v>
      </c>
      <c r="B36" t="s">
        <v>155</v>
      </c>
      <c r="C36" t="s">
        <v>155</v>
      </c>
      <c r="D36" s="53" t="s">
        <v>156</v>
      </c>
    </row>
    <row r="37" spans="1:15" x14ac:dyDescent="0.2">
      <c r="A37" s="45" t="s">
        <v>157</v>
      </c>
      <c r="B37" t="s">
        <v>158</v>
      </c>
      <c r="C37" t="s">
        <v>159</v>
      </c>
      <c r="D37" s="53" t="s">
        <v>160</v>
      </c>
    </row>
    <row r="38" spans="1:15" x14ac:dyDescent="0.2">
      <c r="A38" s="45" t="s">
        <v>161</v>
      </c>
      <c r="B38" t="s">
        <v>119</v>
      </c>
      <c r="C38" t="s">
        <v>162</v>
      </c>
      <c r="D38" s="53" t="s">
        <v>163</v>
      </c>
    </row>
    <row r="39" spans="1:15" x14ac:dyDescent="0.2">
      <c r="A39" s="45" t="s">
        <v>164</v>
      </c>
      <c r="B39" s="36">
        <v>0.06</v>
      </c>
      <c r="C39" t="s">
        <v>165</v>
      </c>
      <c r="D39" s="47">
        <v>0.25</v>
      </c>
    </row>
    <row r="40" spans="1:15" x14ac:dyDescent="0.2">
      <c r="A40" s="45" t="s">
        <v>166</v>
      </c>
      <c r="D40" s="53"/>
    </row>
    <row r="41" spans="1:15" x14ac:dyDescent="0.2">
      <c r="A41" s="45" t="s">
        <v>167</v>
      </c>
      <c r="D41" s="53"/>
    </row>
    <row r="42" spans="1:15" ht="17" thickBot="1" x14ac:dyDescent="0.25">
      <c r="A42" s="48" t="s">
        <v>168</v>
      </c>
      <c r="B42" s="54"/>
      <c r="C42" s="54"/>
      <c r="D42" s="55"/>
    </row>
    <row r="44" spans="1:15" x14ac:dyDescent="0.2">
      <c r="A44" s="143" t="s">
        <v>169</v>
      </c>
      <c r="B44" s="143"/>
      <c r="C44" s="143"/>
      <c r="D44" s="143"/>
      <c r="E44" s="143"/>
      <c r="F44" s="143"/>
      <c r="G44" s="143"/>
      <c r="I44" s="144"/>
      <c r="J44" s="144"/>
      <c r="K44" s="144"/>
      <c r="L44" s="144"/>
      <c r="M44" s="144"/>
      <c r="N44" s="144"/>
      <c r="O44" s="144"/>
    </row>
    <row r="45" spans="1:15" x14ac:dyDescent="0.2">
      <c r="A45" t="s">
        <v>170</v>
      </c>
      <c r="B45" t="s">
        <v>171</v>
      </c>
      <c r="C45" t="s">
        <v>172</v>
      </c>
      <c r="D45" t="s">
        <v>173</v>
      </c>
      <c r="E45" t="s">
        <v>174</v>
      </c>
      <c r="F45" t="s">
        <v>175</v>
      </c>
      <c r="G45" t="s">
        <v>176</v>
      </c>
    </row>
    <row r="46" spans="1:15" x14ac:dyDescent="0.2">
      <c r="A46">
        <v>0</v>
      </c>
      <c r="B46" s="56">
        <v>46023</v>
      </c>
      <c r="C46" s="42">
        <f>+B30</f>
        <v>2192</v>
      </c>
      <c r="D46" s="42"/>
      <c r="E46" s="57">
        <f>+IF(OR(A46=8,A46=12,A46=16,A46=20,A46=24,A46=28,A46=32,A46=36),14000000,IF(A46=40,14000000,0))</f>
        <v>0</v>
      </c>
      <c r="F46" s="57">
        <f>+D46+E46</f>
        <v>0</v>
      </c>
      <c r="G46" s="42">
        <f>+C46</f>
        <v>2192</v>
      </c>
      <c r="H46" s="57"/>
      <c r="J46" s="56"/>
      <c r="K46" s="57"/>
      <c r="L46" s="57"/>
      <c r="M46" s="57"/>
      <c r="N46" s="57"/>
      <c r="O46" s="57"/>
    </row>
    <row r="47" spans="1:15" x14ac:dyDescent="0.2">
      <c r="A47">
        <v>1</v>
      </c>
      <c r="B47" s="56">
        <f t="shared" ref="B47:B86" si="0">EDATE(B46,3)</f>
        <v>46113</v>
      </c>
      <c r="C47" s="42"/>
      <c r="D47" s="42"/>
      <c r="E47" s="57"/>
      <c r="F47" s="57"/>
      <c r="G47" s="42">
        <f t="shared" ref="G47:G86" si="1">+C47-E47</f>
        <v>0</v>
      </c>
      <c r="H47" s="57"/>
      <c r="J47" s="56"/>
      <c r="K47" s="57"/>
      <c r="L47" s="57"/>
      <c r="M47" s="57"/>
      <c r="N47" s="57"/>
      <c r="O47" s="57"/>
    </row>
    <row r="48" spans="1:15" x14ac:dyDescent="0.2">
      <c r="A48">
        <v>2</v>
      </c>
      <c r="B48" s="56">
        <f t="shared" si="0"/>
        <v>46204</v>
      </c>
      <c r="C48" s="42"/>
      <c r="D48" s="42"/>
      <c r="E48" s="57"/>
      <c r="F48" s="57"/>
      <c r="G48" s="42">
        <f t="shared" si="1"/>
        <v>0</v>
      </c>
      <c r="H48" s="57"/>
      <c r="J48" s="56"/>
      <c r="K48" s="57"/>
      <c r="L48" s="57"/>
      <c r="M48" s="57"/>
      <c r="N48" s="57"/>
      <c r="O48" s="57"/>
    </row>
    <row r="49" spans="1:15" x14ac:dyDescent="0.2">
      <c r="A49">
        <v>3</v>
      </c>
      <c r="B49" s="56">
        <f t="shared" si="0"/>
        <v>46296</v>
      </c>
      <c r="C49" s="42"/>
      <c r="D49" s="42"/>
      <c r="E49" s="57"/>
      <c r="F49" s="57"/>
      <c r="G49" s="42">
        <f t="shared" si="1"/>
        <v>0</v>
      </c>
      <c r="H49" s="57"/>
      <c r="J49" s="56"/>
      <c r="K49" s="57"/>
      <c r="L49" s="57"/>
      <c r="M49" s="57"/>
      <c r="N49" s="57"/>
      <c r="O49" s="57"/>
    </row>
    <row r="50" spans="1:15" x14ac:dyDescent="0.2">
      <c r="A50">
        <v>4</v>
      </c>
      <c r="B50" s="56">
        <f t="shared" si="0"/>
        <v>46388</v>
      </c>
      <c r="C50" s="42"/>
      <c r="D50" s="42"/>
      <c r="E50" s="57"/>
      <c r="F50" s="57"/>
      <c r="G50" s="42">
        <f t="shared" si="1"/>
        <v>0</v>
      </c>
      <c r="J50" s="56"/>
      <c r="K50" s="57"/>
      <c r="L50" s="57"/>
      <c r="M50" s="57"/>
      <c r="N50" s="57"/>
      <c r="O50" s="57"/>
    </row>
    <row r="51" spans="1:15" x14ac:dyDescent="0.2">
      <c r="A51">
        <v>5</v>
      </c>
      <c r="B51" s="56">
        <f t="shared" si="0"/>
        <v>46478</v>
      </c>
      <c r="C51" s="42"/>
      <c r="D51" s="42"/>
      <c r="E51" s="57"/>
      <c r="F51" s="57"/>
      <c r="G51" s="42">
        <f t="shared" si="1"/>
        <v>0</v>
      </c>
      <c r="J51" s="56"/>
      <c r="K51" s="57"/>
      <c r="L51" s="57"/>
      <c r="M51" s="57"/>
      <c r="N51" s="57"/>
      <c r="O51" s="57"/>
    </row>
    <row r="52" spans="1:15" x14ac:dyDescent="0.2">
      <c r="A52">
        <v>6</v>
      </c>
      <c r="B52" s="56">
        <f t="shared" si="0"/>
        <v>46569</v>
      </c>
      <c r="C52" s="42"/>
      <c r="D52" s="42"/>
      <c r="E52" s="57"/>
      <c r="F52" s="57"/>
      <c r="G52" s="42">
        <f t="shared" si="1"/>
        <v>0</v>
      </c>
      <c r="J52" s="56"/>
      <c r="K52" s="57"/>
      <c r="L52" s="57"/>
      <c r="M52" s="57"/>
      <c r="N52" s="57"/>
      <c r="O52" s="57"/>
    </row>
    <row r="53" spans="1:15" x14ac:dyDescent="0.2">
      <c r="A53">
        <v>7</v>
      </c>
      <c r="B53" s="56">
        <f t="shared" si="0"/>
        <v>46661</v>
      </c>
      <c r="C53" s="42"/>
      <c r="D53" s="42"/>
      <c r="E53" s="57"/>
      <c r="F53" s="57"/>
      <c r="G53" s="42">
        <f t="shared" si="1"/>
        <v>0</v>
      </c>
      <c r="J53" s="56"/>
      <c r="K53" s="57"/>
      <c r="L53" s="57"/>
      <c r="M53" s="57"/>
      <c r="N53" s="57"/>
      <c r="O53" s="57"/>
    </row>
    <row r="54" spans="1:15" x14ac:dyDescent="0.2">
      <c r="A54">
        <v>8</v>
      </c>
      <c r="B54" s="56">
        <f t="shared" si="0"/>
        <v>46753</v>
      </c>
      <c r="C54" s="42"/>
      <c r="D54" s="42"/>
      <c r="E54" s="57"/>
      <c r="F54" s="57"/>
      <c r="G54" s="42">
        <f t="shared" si="1"/>
        <v>0</v>
      </c>
      <c r="J54" s="56"/>
      <c r="K54" s="57"/>
      <c r="L54" s="57"/>
      <c r="M54" s="57"/>
      <c r="N54" s="57"/>
      <c r="O54" s="57"/>
    </row>
    <row r="55" spans="1:15" x14ac:dyDescent="0.2">
      <c r="A55">
        <v>9</v>
      </c>
      <c r="B55" s="56">
        <f t="shared" si="0"/>
        <v>46844</v>
      </c>
      <c r="C55" s="42"/>
      <c r="D55" s="42"/>
      <c r="E55" s="57"/>
      <c r="F55" s="57"/>
      <c r="G55" s="42">
        <f t="shared" si="1"/>
        <v>0</v>
      </c>
      <c r="J55" s="56"/>
      <c r="K55" s="57"/>
      <c r="L55" s="57"/>
      <c r="M55" s="57"/>
      <c r="N55" s="57"/>
      <c r="O55" s="57"/>
    </row>
    <row r="56" spans="1:15" x14ac:dyDescent="0.2">
      <c r="A56">
        <v>10</v>
      </c>
      <c r="B56" s="56">
        <f t="shared" si="0"/>
        <v>46935</v>
      </c>
      <c r="C56" s="42"/>
      <c r="D56" s="42"/>
      <c r="E56" s="57"/>
      <c r="F56" s="57"/>
      <c r="G56" s="42">
        <f t="shared" si="1"/>
        <v>0</v>
      </c>
      <c r="J56" s="56"/>
      <c r="K56" s="57"/>
      <c r="L56" s="57"/>
      <c r="M56" s="57"/>
      <c r="N56" s="57"/>
      <c r="O56" s="57"/>
    </row>
    <row r="57" spans="1:15" x14ac:dyDescent="0.2">
      <c r="A57">
        <v>11</v>
      </c>
      <c r="B57" s="56">
        <f t="shared" si="0"/>
        <v>47027</v>
      </c>
      <c r="C57" s="42"/>
      <c r="D57" s="42"/>
      <c r="E57" s="57"/>
      <c r="F57" s="57"/>
      <c r="G57" s="42">
        <f t="shared" si="1"/>
        <v>0</v>
      </c>
      <c r="J57" s="56"/>
      <c r="K57" s="57"/>
      <c r="L57" s="57"/>
      <c r="M57" s="57"/>
      <c r="N57" s="57"/>
      <c r="O57" s="57"/>
    </row>
    <row r="58" spans="1:15" x14ac:dyDescent="0.2">
      <c r="A58">
        <v>12</v>
      </c>
      <c r="B58" s="56">
        <f t="shared" si="0"/>
        <v>47119</v>
      </c>
      <c r="C58" s="42"/>
      <c r="D58" s="42"/>
      <c r="E58" s="57"/>
      <c r="F58" s="57"/>
      <c r="G58" s="42">
        <f t="shared" si="1"/>
        <v>0</v>
      </c>
      <c r="J58" s="56"/>
      <c r="K58" s="57"/>
      <c r="L58" s="57"/>
      <c r="M58" s="57"/>
      <c r="N58" s="57"/>
      <c r="O58" s="57"/>
    </row>
    <row r="59" spans="1:15" x14ac:dyDescent="0.2">
      <c r="A59">
        <v>13</v>
      </c>
      <c r="B59" s="56">
        <f t="shared" si="0"/>
        <v>47209</v>
      </c>
      <c r="C59" s="42"/>
      <c r="D59" s="42"/>
      <c r="E59" s="57"/>
      <c r="F59" s="57"/>
      <c r="G59" s="42">
        <f t="shared" si="1"/>
        <v>0</v>
      </c>
      <c r="J59" s="56"/>
      <c r="K59" s="57"/>
      <c r="L59" s="57"/>
      <c r="M59" s="57"/>
      <c r="N59" s="57"/>
      <c r="O59" s="57"/>
    </row>
    <row r="60" spans="1:15" x14ac:dyDescent="0.2">
      <c r="A60">
        <v>14</v>
      </c>
      <c r="B60" s="56">
        <f t="shared" si="0"/>
        <v>47300</v>
      </c>
      <c r="C60" s="42"/>
      <c r="D60" s="42"/>
      <c r="E60" s="57"/>
      <c r="F60" s="57"/>
      <c r="G60" s="42">
        <f t="shared" si="1"/>
        <v>0</v>
      </c>
      <c r="J60" s="56"/>
      <c r="K60" s="57"/>
      <c r="L60" s="57"/>
      <c r="M60" s="57"/>
      <c r="N60" s="57"/>
      <c r="O60" s="57"/>
    </row>
    <row r="61" spans="1:15" x14ac:dyDescent="0.2">
      <c r="A61">
        <v>15</v>
      </c>
      <c r="B61" s="56">
        <f t="shared" si="0"/>
        <v>47392</v>
      </c>
      <c r="C61" s="42"/>
      <c r="D61" s="42"/>
      <c r="E61" s="57"/>
      <c r="F61" s="57"/>
      <c r="G61" s="42">
        <f t="shared" si="1"/>
        <v>0</v>
      </c>
      <c r="J61" s="56"/>
      <c r="K61" s="57"/>
      <c r="L61" s="57"/>
      <c r="M61" s="57"/>
      <c r="N61" s="57"/>
      <c r="O61" s="57"/>
    </row>
    <row r="62" spans="1:15" x14ac:dyDescent="0.2">
      <c r="A62">
        <v>16</v>
      </c>
      <c r="B62" s="56">
        <f t="shared" si="0"/>
        <v>47484</v>
      </c>
      <c r="C62" s="42"/>
      <c r="D62" s="42"/>
      <c r="E62" s="57"/>
      <c r="F62" s="57"/>
      <c r="G62" s="42">
        <f t="shared" si="1"/>
        <v>0</v>
      </c>
      <c r="J62" s="56"/>
      <c r="K62" s="57"/>
      <c r="L62" s="57"/>
      <c r="M62" s="57"/>
      <c r="N62" s="57"/>
      <c r="O62" s="57"/>
    </row>
    <row r="63" spans="1:15" x14ac:dyDescent="0.2">
      <c r="A63">
        <v>17</v>
      </c>
      <c r="B63" s="56">
        <f t="shared" si="0"/>
        <v>47574</v>
      </c>
      <c r="C63" s="42"/>
      <c r="D63" s="42"/>
      <c r="E63" s="57"/>
      <c r="F63" s="57"/>
      <c r="G63" s="42">
        <f t="shared" si="1"/>
        <v>0</v>
      </c>
      <c r="J63" s="56"/>
      <c r="K63" s="57"/>
      <c r="L63" s="57"/>
      <c r="M63" s="57"/>
      <c r="N63" s="57"/>
      <c r="O63" s="57"/>
    </row>
    <row r="64" spans="1:15" x14ac:dyDescent="0.2">
      <c r="A64">
        <v>18</v>
      </c>
      <c r="B64" s="56">
        <f t="shared" si="0"/>
        <v>47665</v>
      </c>
      <c r="C64" s="42"/>
      <c r="D64" s="42"/>
      <c r="E64" s="57"/>
      <c r="F64" s="57"/>
      <c r="G64" s="42">
        <f t="shared" si="1"/>
        <v>0</v>
      </c>
      <c r="J64" s="56"/>
      <c r="K64" s="57"/>
      <c r="L64" s="57"/>
      <c r="M64" s="57"/>
      <c r="N64" s="57"/>
      <c r="O64" s="57"/>
    </row>
    <row r="65" spans="1:15" x14ac:dyDescent="0.2">
      <c r="A65">
        <v>19</v>
      </c>
      <c r="B65" s="56">
        <f t="shared" si="0"/>
        <v>47757</v>
      </c>
      <c r="C65" s="42"/>
      <c r="D65" s="42"/>
      <c r="E65" s="57"/>
      <c r="F65" s="57"/>
      <c r="G65" s="42">
        <f t="shared" si="1"/>
        <v>0</v>
      </c>
      <c r="J65" s="56"/>
      <c r="K65" s="57"/>
      <c r="L65" s="57"/>
      <c r="M65" s="57"/>
      <c r="N65" s="57"/>
      <c r="O65" s="57"/>
    </row>
    <row r="66" spans="1:15" x14ac:dyDescent="0.2">
      <c r="A66">
        <v>20</v>
      </c>
      <c r="B66" s="56">
        <f t="shared" si="0"/>
        <v>47849</v>
      </c>
      <c r="C66" s="42"/>
      <c r="D66" s="42"/>
      <c r="E66" s="57"/>
      <c r="F66" s="57"/>
      <c r="G66" s="42">
        <f t="shared" si="1"/>
        <v>0</v>
      </c>
      <c r="J66" s="56"/>
      <c r="K66" s="57"/>
      <c r="L66" s="57"/>
      <c r="M66" s="57"/>
      <c r="N66" s="57"/>
      <c r="O66" s="57"/>
    </row>
    <row r="67" spans="1:15" x14ac:dyDescent="0.2">
      <c r="A67">
        <v>21</v>
      </c>
      <c r="B67" s="56">
        <f t="shared" si="0"/>
        <v>47939</v>
      </c>
      <c r="C67" s="42"/>
      <c r="D67" s="42"/>
      <c r="E67" s="57"/>
      <c r="F67" s="57"/>
      <c r="G67" s="42">
        <f t="shared" si="1"/>
        <v>0</v>
      </c>
      <c r="J67" s="56"/>
      <c r="K67" s="57"/>
      <c r="L67" s="57"/>
      <c r="M67" s="57"/>
      <c r="N67" s="57"/>
      <c r="O67" s="57"/>
    </row>
    <row r="68" spans="1:15" x14ac:dyDescent="0.2">
      <c r="A68">
        <v>22</v>
      </c>
      <c r="B68" s="56">
        <f t="shared" si="0"/>
        <v>48030</v>
      </c>
      <c r="C68" s="42"/>
      <c r="D68" s="42"/>
      <c r="E68" s="57"/>
      <c r="F68" s="57"/>
      <c r="G68" s="42">
        <f t="shared" si="1"/>
        <v>0</v>
      </c>
      <c r="J68" s="56"/>
      <c r="K68" s="57"/>
      <c r="L68" s="57"/>
      <c r="M68" s="57"/>
      <c r="N68" s="57"/>
      <c r="O68" s="57"/>
    </row>
    <row r="69" spans="1:15" x14ac:dyDescent="0.2">
      <c r="A69">
        <v>23</v>
      </c>
      <c r="B69" s="56">
        <f t="shared" si="0"/>
        <v>48122</v>
      </c>
      <c r="C69" s="42"/>
      <c r="D69" s="42"/>
      <c r="E69" s="57"/>
      <c r="F69" s="57"/>
      <c r="G69" s="42">
        <f t="shared" si="1"/>
        <v>0</v>
      </c>
      <c r="J69" s="56"/>
      <c r="K69" s="57"/>
      <c r="L69" s="57"/>
      <c r="M69" s="57"/>
      <c r="N69" s="57"/>
      <c r="O69" s="57"/>
    </row>
    <row r="70" spans="1:15" x14ac:dyDescent="0.2">
      <c r="A70">
        <v>24</v>
      </c>
      <c r="B70" s="56">
        <f t="shared" si="0"/>
        <v>48214</v>
      </c>
      <c r="C70" s="42"/>
      <c r="D70" s="42"/>
      <c r="E70" s="57"/>
      <c r="F70" s="57"/>
      <c r="G70" s="42">
        <f t="shared" si="1"/>
        <v>0</v>
      </c>
      <c r="J70" s="56"/>
      <c r="K70" s="57"/>
      <c r="L70" s="57"/>
      <c r="M70" s="57"/>
      <c r="N70" s="57"/>
      <c r="O70" s="57"/>
    </row>
    <row r="71" spans="1:15" x14ac:dyDescent="0.2">
      <c r="A71">
        <v>25</v>
      </c>
      <c r="B71" s="56">
        <f t="shared" si="0"/>
        <v>48305</v>
      </c>
      <c r="C71" s="42"/>
      <c r="D71" s="42"/>
      <c r="E71" s="57"/>
      <c r="F71" s="57"/>
      <c r="G71" s="42">
        <f t="shared" si="1"/>
        <v>0</v>
      </c>
      <c r="J71" s="56"/>
      <c r="K71" s="57"/>
      <c r="L71" s="57"/>
      <c r="M71" s="57"/>
      <c r="N71" s="57"/>
      <c r="O71" s="57"/>
    </row>
    <row r="72" spans="1:15" x14ac:dyDescent="0.2">
      <c r="A72">
        <v>26</v>
      </c>
      <c r="B72" s="56">
        <f t="shared" si="0"/>
        <v>48396</v>
      </c>
      <c r="C72" s="42"/>
      <c r="D72" s="42"/>
      <c r="E72" s="57"/>
      <c r="F72" s="57"/>
      <c r="G72" s="42">
        <f t="shared" si="1"/>
        <v>0</v>
      </c>
      <c r="J72" s="56"/>
      <c r="K72" s="57"/>
      <c r="L72" s="57"/>
      <c r="M72" s="57"/>
      <c r="N72" s="57"/>
      <c r="O72" s="57"/>
    </row>
    <row r="73" spans="1:15" x14ac:dyDescent="0.2">
      <c r="A73">
        <v>27</v>
      </c>
      <c r="B73" s="56">
        <f t="shared" si="0"/>
        <v>48488</v>
      </c>
      <c r="C73" s="42"/>
      <c r="D73" s="42"/>
      <c r="E73" s="57"/>
      <c r="F73" s="57"/>
      <c r="G73" s="42">
        <f t="shared" si="1"/>
        <v>0</v>
      </c>
      <c r="J73" s="56"/>
      <c r="K73" s="57"/>
      <c r="L73" s="57"/>
      <c r="M73" s="57"/>
      <c r="N73" s="57"/>
      <c r="O73" s="57"/>
    </row>
    <row r="74" spans="1:15" x14ac:dyDescent="0.2">
      <c r="A74">
        <v>28</v>
      </c>
      <c r="B74" s="56">
        <f t="shared" si="0"/>
        <v>48580</v>
      </c>
      <c r="C74" s="42"/>
      <c r="D74" s="42"/>
      <c r="E74" s="57"/>
      <c r="F74" s="57"/>
      <c r="G74" s="42">
        <f t="shared" si="1"/>
        <v>0</v>
      </c>
      <c r="J74" s="56"/>
      <c r="K74" s="57"/>
      <c r="L74" s="57"/>
      <c r="M74" s="57"/>
      <c r="N74" s="57"/>
      <c r="O74" s="57"/>
    </row>
    <row r="75" spans="1:15" x14ac:dyDescent="0.2">
      <c r="A75">
        <v>29</v>
      </c>
      <c r="B75" s="56">
        <f t="shared" si="0"/>
        <v>48670</v>
      </c>
      <c r="C75" s="42"/>
      <c r="D75" s="42"/>
      <c r="E75" s="57"/>
      <c r="F75" s="57"/>
      <c r="G75" s="42">
        <f t="shared" si="1"/>
        <v>0</v>
      </c>
      <c r="J75" s="56"/>
      <c r="K75" s="57"/>
      <c r="L75" s="57"/>
      <c r="M75" s="57"/>
      <c r="N75" s="57"/>
      <c r="O75" s="57"/>
    </row>
    <row r="76" spans="1:15" x14ac:dyDescent="0.2">
      <c r="A76">
        <v>30</v>
      </c>
      <c r="B76" s="56">
        <f t="shared" si="0"/>
        <v>48761</v>
      </c>
      <c r="C76" s="42"/>
      <c r="D76" s="42"/>
      <c r="E76" s="57"/>
      <c r="F76" s="57"/>
      <c r="G76" s="42">
        <f t="shared" si="1"/>
        <v>0</v>
      </c>
      <c r="J76" s="56"/>
      <c r="K76" s="57"/>
      <c r="L76" s="57"/>
      <c r="M76" s="57"/>
      <c r="N76" s="57"/>
      <c r="O76" s="57"/>
    </row>
    <row r="77" spans="1:15" x14ac:dyDescent="0.2">
      <c r="A77">
        <v>31</v>
      </c>
      <c r="B77" s="56">
        <f t="shared" si="0"/>
        <v>48853</v>
      </c>
      <c r="C77" s="42"/>
      <c r="D77" s="42"/>
      <c r="E77" s="57"/>
      <c r="F77" s="57"/>
      <c r="G77" s="42">
        <f t="shared" si="1"/>
        <v>0</v>
      </c>
      <c r="J77" s="56"/>
      <c r="K77" s="57"/>
      <c r="L77" s="57"/>
      <c r="M77" s="57"/>
      <c r="N77" s="57"/>
      <c r="O77" s="57"/>
    </row>
    <row r="78" spans="1:15" x14ac:dyDescent="0.2">
      <c r="A78">
        <v>32</v>
      </c>
      <c r="B78" s="56">
        <f t="shared" si="0"/>
        <v>48945</v>
      </c>
      <c r="C78" s="42"/>
      <c r="D78" s="42"/>
      <c r="E78" s="57"/>
      <c r="F78" s="57"/>
      <c r="G78" s="42">
        <f t="shared" si="1"/>
        <v>0</v>
      </c>
      <c r="J78" s="56"/>
      <c r="K78" s="57"/>
      <c r="L78" s="57"/>
      <c r="M78" s="57"/>
      <c r="N78" s="57"/>
      <c r="O78" s="57"/>
    </row>
    <row r="79" spans="1:15" x14ac:dyDescent="0.2">
      <c r="A79">
        <v>33</v>
      </c>
      <c r="B79" s="56">
        <f t="shared" si="0"/>
        <v>49035</v>
      </c>
      <c r="C79" s="42"/>
      <c r="D79" s="42"/>
      <c r="E79" s="57"/>
      <c r="F79" s="57"/>
      <c r="G79" s="42">
        <f t="shared" si="1"/>
        <v>0</v>
      </c>
      <c r="J79" s="56"/>
      <c r="K79" s="57"/>
      <c r="L79" s="57"/>
      <c r="M79" s="57"/>
      <c r="N79" s="57"/>
      <c r="O79" s="57"/>
    </row>
    <row r="80" spans="1:15" x14ac:dyDescent="0.2">
      <c r="A80">
        <v>34</v>
      </c>
      <c r="B80" s="56">
        <f t="shared" si="0"/>
        <v>49126</v>
      </c>
      <c r="C80" s="42"/>
      <c r="D80" s="42"/>
      <c r="E80" s="57"/>
      <c r="F80" s="57"/>
      <c r="G80" s="42">
        <f t="shared" si="1"/>
        <v>0</v>
      </c>
      <c r="J80" s="56"/>
      <c r="K80" s="57"/>
      <c r="L80" s="57"/>
      <c r="M80" s="57"/>
      <c r="N80" s="57"/>
      <c r="O80" s="57"/>
    </row>
    <row r="81" spans="1:15" x14ac:dyDescent="0.2">
      <c r="A81">
        <v>35</v>
      </c>
      <c r="B81" s="56">
        <f t="shared" si="0"/>
        <v>49218</v>
      </c>
      <c r="C81" s="42"/>
      <c r="D81" s="42"/>
      <c r="E81" s="57"/>
      <c r="F81" s="57"/>
      <c r="G81" s="42">
        <f t="shared" si="1"/>
        <v>0</v>
      </c>
      <c r="J81" s="56"/>
      <c r="K81" s="57"/>
      <c r="L81" s="57"/>
      <c r="M81" s="57"/>
      <c r="N81" s="57"/>
      <c r="O81" s="57"/>
    </row>
    <row r="82" spans="1:15" x14ac:dyDescent="0.2">
      <c r="A82">
        <v>36</v>
      </c>
      <c r="B82" s="56">
        <f t="shared" si="0"/>
        <v>49310</v>
      </c>
      <c r="C82" s="42"/>
      <c r="D82" s="42"/>
      <c r="E82" s="57"/>
      <c r="F82" s="57"/>
      <c r="G82" s="42">
        <f t="shared" si="1"/>
        <v>0</v>
      </c>
      <c r="J82" s="56"/>
      <c r="K82" s="57"/>
      <c r="L82" s="57"/>
      <c r="M82" s="57"/>
      <c r="N82" s="57"/>
      <c r="O82" s="57"/>
    </row>
    <row r="83" spans="1:15" x14ac:dyDescent="0.2">
      <c r="A83">
        <v>37</v>
      </c>
      <c r="B83" s="56">
        <f t="shared" si="0"/>
        <v>49400</v>
      </c>
      <c r="C83" s="42"/>
      <c r="D83" s="42"/>
      <c r="E83" s="57"/>
      <c r="F83" s="57"/>
      <c r="G83" s="42">
        <f t="shared" si="1"/>
        <v>0</v>
      </c>
      <c r="J83" s="56"/>
      <c r="K83" s="57"/>
      <c r="L83" s="57"/>
      <c r="M83" s="57"/>
      <c r="N83" s="57"/>
      <c r="O83" s="57"/>
    </row>
    <row r="84" spans="1:15" x14ac:dyDescent="0.2">
      <c r="A84">
        <v>38</v>
      </c>
      <c r="B84" s="56">
        <f t="shared" si="0"/>
        <v>49491</v>
      </c>
      <c r="C84" s="42"/>
      <c r="D84" s="42"/>
      <c r="E84" s="57"/>
      <c r="F84" s="57"/>
      <c r="G84" s="42">
        <f t="shared" si="1"/>
        <v>0</v>
      </c>
      <c r="J84" s="56"/>
      <c r="K84" s="57"/>
      <c r="L84" s="57"/>
      <c r="M84" s="57"/>
      <c r="N84" s="57"/>
      <c r="O84" s="57"/>
    </row>
    <row r="85" spans="1:15" x14ac:dyDescent="0.2">
      <c r="A85">
        <v>39</v>
      </c>
      <c r="B85" s="56">
        <f t="shared" si="0"/>
        <v>49583</v>
      </c>
      <c r="C85" s="42"/>
      <c r="D85" s="42"/>
      <c r="E85" s="57"/>
      <c r="F85" s="57"/>
      <c r="G85" s="42">
        <f t="shared" si="1"/>
        <v>0</v>
      </c>
      <c r="J85" s="56"/>
      <c r="K85" s="57"/>
      <c r="L85" s="57"/>
      <c r="M85" s="57"/>
      <c r="N85" s="57"/>
      <c r="O85" s="57"/>
    </row>
    <row r="86" spans="1:15" x14ac:dyDescent="0.2">
      <c r="A86">
        <v>40</v>
      </c>
      <c r="B86" s="56">
        <f t="shared" si="0"/>
        <v>49675</v>
      </c>
      <c r="C86" s="42"/>
      <c r="D86" s="42"/>
      <c r="E86" s="57"/>
      <c r="F86" s="57"/>
      <c r="G86" s="42">
        <f t="shared" si="1"/>
        <v>0</v>
      </c>
      <c r="J86" s="56"/>
      <c r="K86" s="57"/>
      <c r="L86" s="57"/>
      <c r="M86" s="57"/>
      <c r="N86" s="57"/>
      <c r="O86" s="57"/>
    </row>
    <row r="87" spans="1:15" x14ac:dyDescent="0.2">
      <c r="B87" s="56"/>
    </row>
    <row r="88" spans="1:15" x14ac:dyDescent="0.2">
      <c r="B88" s="56"/>
    </row>
    <row r="89" spans="1:15" x14ac:dyDescent="0.2">
      <c r="B89" s="56"/>
    </row>
    <row r="90" spans="1:15" x14ac:dyDescent="0.2">
      <c r="B90" s="56"/>
    </row>
    <row r="91" spans="1:15" x14ac:dyDescent="0.2">
      <c r="B91" s="56"/>
    </row>
    <row r="92" spans="1:15" x14ac:dyDescent="0.2">
      <c r="B92" s="56"/>
    </row>
  </sheetData>
  <mergeCells count="3">
    <mergeCell ref="A26:B26"/>
    <mergeCell ref="A44:G44"/>
    <mergeCell ref="I44:O44"/>
  </mergeCells>
  <hyperlinks>
    <hyperlink ref="F3" r:id="rId1" xr:uid="{0A0E8A12-CD7A-41C2-A581-D6B4C3B88045}"/>
  </hyperlinks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8FB3-B0AA-4047-8EFD-11093237ECF3}">
  <dimension ref="A3:K21"/>
  <sheetViews>
    <sheetView workbookViewId="0">
      <selection activeCell="B17" sqref="B17"/>
    </sheetView>
  </sheetViews>
  <sheetFormatPr baseColWidth="10" defaultColWidth="11" defaultRowHeight="16" x14ac:dyDescent="0.2"/>
  <cols>
    <col min="1" max="1" width="25.6640625" bestFit="1" customWidth="1"/>
    <col min="2" max="2" width="20.5" customWidth="1"/>
    <col min="3" max="11" width="17.6640625" bestFit="1" customWidth="1"/>
  </cols>
  <sheetData>
    <row r="3" spans="1:11" x14ac:dyDescent="0.2">
      <c r="A3" s="139" t="s">
        <v>99</v>
      </c>
      <c r="B3" s="10">
        <v>0.08</v>
      </c>
    </row>
    <row r="4" spans="1:11" x14ac:dyDescent="0.2">
      <c r="A4" s="31" t="s">
        <v>83</v>
      </c>
      <c r="B4" s="10">
        <v>0.04</v>
      </c>
    </row>
    <row r="5" spans="1:11" x14ac:dyDescent="0.2">
      <c r="A5" s="31" t="s">
        <v>84</v>
      </c>
    </row>
    <row r="7" spans="1:11" x14ac:dyDescent="0.2">
      <c r="B7" s="31" t="s">
        <v>85</v>
      </c>
      <c r="C7" s="31" t="s">
        <v>86</v>
      </c>
      <c r="D7" s="31" t="s">
        <v>87</v>
      </c>
      <c r="E7" s="31" t="s">
        <v>88</v>
      </c>
      <c r="F7" s="31" t="s">
        <v>89</v>
      </c>
      <c r="G7" s="31" t="s">
        <v>90</v>
      </c>
      <c r="H7" s="31" t="s">
        <v>91</v>
      </c>
      <c r="I7" s="31" t="s">
        <v>92</v>
      </c>
      <c r="J7" s="31" t="s">
        <v>93</v>
      </c>
      <c r="K7" s="31" t="s">
        <v>94</v>
      </c>
    </row>
    <row r="8" spans="1:11" x14ac:dyDescent="0.2">
      <c r="A8" s="31" t="s">
        <v>95</v>
      </c>
      <c r="B8" s="31">
        <v>1</v>
      </c>
      <c r="C8" s="31">
        <v>2</v>
      </c>
      <c r="D8" s="31">
        <v>3</v>
      </c>
      <c r="E8" s="31">
        <v>4</v>
      </c>
      <c r="F8" s="31">
        <v>5</v>
      </c>
      <c r="G8" s="31">
        <v>6</v>
      </c>
      <c r="H8" s="31">
        <v>7</v>
      </c>
      <c r="I8" s="31">
        <v>8</v>
      </c>
      <c r="J8" s="31">
        <v>9</v>
      </c>
      <c r="K8" s="31">
        <v>10</v>
      </c>
    </row>
    <row r="9" spans="1:11" x14ac:dyDescent="0.2">
      <c r="A9" s="31" t="s">
        <v>96</v>
      </c>
      <c r="B9" s="138">
        <v>5.8400000000000001E-2</v>
      </c>
      <c r="C9" s="138">
        <v>6.8400000000000002E-2</v>
      </c>
      <c r="D9" s="138">
        <v>6.5799999999999997E-2</v>
      </c>
      <c r="E9" s="138">
        <v>6.3700000000000007E-2</v>
      </c>
      <c r="F9" s="138">
        <v>6.1800000000000001E-2</v>
      </c>
      <c r="G9" s="138">
        <v>5.8500000000000003E-2</v>
      </c>
      <c r="H9" s="138">
        <v>5.8200000000000002E-2</v>
      </c>
      <c r="I9" s="138">
        <v>5.8799999999999998E-2</v>
      </c>
      <c r="J9" s="138">
        <v>5.8599999999999999E-2</v>
      </c>
      <c r="K9" s="138">
        <v>5.8500000000000003E-2</v>
      </c>
    </row>
    <row r="10" spans="1:11" x14ac:dyDescent="0.2">
      <c r="A10" s="31" t="s">
        <v>97</v>
      </c>
      <c r="B10" s="21">
        <f>Datos!C19*1000000</f>
        <v>2800000000</v>
      </c>
      <c r="C10" s="71">
        <f>B10*(1+B9)</f>
        <v>2963520000</v>
      </c>
      <c r="D10" s="71">
        <f t="shared" ref="D10:K10" si="0">C10*(1+C9)</f>
        <v>3166224768</v>
      </c>
      <c r="E10" s="71">
        <f t="shared" si="0"/>
        <v>3374562357.7344003</v>
      </c>
      <c r="F10" s="71">
        <f t="shared" si="0"/>
        <v>3589521979.9220819</v>
      </c>
      <c r="G10" s="71">
        <f t="shared" si="0"/>
        <v>3811354438.2812667</v>
      </c>
      <c r="H10" s="71">
        <f t="shared" si="0"/>
        <v>4034318672.9207206</v>
      </c>
      <c r="I10" s="71">
        <f t="shared" si="0"/>
        <v>4269116019.6847067</v>
      </c>
      <c r="J10" s="71">
        <f t="shared" si="0"/>
        <v>4520140041.6421671</v>
      </c>
      <c r="K10" s="71">
        <f t="shared" si="0"/>
        <v>4785020248.0823984</v>
      </c>
    </row>
    <row r="11" spans="1:11" x14ac:dyDescent="0.2">
      <c r="A11" s="31" t="s">
        <v>98</v>
      </c>
      <c r="B11" s="21">
        <f>B10*$B$4</f>
        <v>112000000</v>
      </c>
      <c r="C11" s="21">
        <f t="shared" ref="C11:K11" si="1">C10*$B$4</f>
        <v>118540800</v>
      </c>
      <c r="D11" s="21">
        <f t="shared" si="1"/>
        <v>126648990.72</v>
      </c>
      <c r="E11" s="21">
        <f t="shared" si="1"/>
        <v>134982494.309376</v>
      </c>
      <c r="F11" s="21">
        <f t="shared" si="1"/>
        <v>143580879.19688329</v>
      </c>
      <c r="G11" s="21">
        <f t="shared" si="1"/>
        <v>152454177.53125069</v>
      </c>
      <c r="H11" s="21">
        <f t="shared" si="1"/>
        <v>161372746.91682884</v>
      </c>
      <c r="I11" s="21">
        <f t="shared" si="1"/>
        <v>170764640.78738827</v>
      </c>
      <c r="J11" s="21">
        <f t="shared" si="1"/>
        <v>180805601.6656867</v>
      </c>
      <c r="K11" s="21">
        <f t="shared" si="1"/>
        <v>191400809.92329594</v>
      </c>
    </row>
    <row r="12" spans="1:11" x14ac:dyDescent="0.2">
      <c r="A12" s="31" t="s">
        <v>99</v>
      </c>
      <c r="B12" s="21">
        <f>B10*$B$3</f>
        <v>224000000</v>
      </c>
      <c r="C12" s="21">
        <f t="shared" ref="C12:K12" si="2">C10*$B$3</f>
        <v>237081600</v>
      </c>
      <c r="D12" s="21">
        <f t="shared" si="2"/>
        <v>253297981.44</v>
      </c>
      <c r="E12" s="21">
        <f t="shared" si="2"/>
        <v>269964988.618752</v>
      </c>
      <c r="F12" s="21">
        <f t="shared" si="2"/>
        <v>287161758.39376658</v>
      </c>
      <c r="G12" s="21">
        <f t="shared" si="2"/>
        <v>304908355.06250137</v>
      </c>
      <c r="H12" s="21">
        <f t="shared" si="2"/>
        <v>322745493.83365768</v>
      </c>
      <c r="I12" s="21">
        <f t="shared" si="2"/>
        <v>341529281.57477653</v>
      </c>
      <c r="J12" s="21">
        <f t="shared" si="2"/>
        <v>361611203.33137339</v>
      </c>
      <c r="K12" s="21">
        <f t="shared" si="2"/>
        <v>382801619.84659189</v>
      </c>
    </row>
    <row r="13" spans="1:11" x14ac:dyDescent="0.2">
      <c r="A13" s="31" t="s">
        <v>341</v>
      </c>
      <c r="B13" s="21">
        <f>B10-B11-B12</f>
        <v>2464000000</v>
      </c>
      <c r="C13" s="21">
        <f t="shared" ref="C13:K13" si="3">C10-C11-C12</f>
        <v>2607897600</v>
      </c>
      <c r="D13" s="21">
        <f t="shared" si="3"/>
        <v>2786277795.8400002</v>
      </c>
      <c r="E13" s="21">
        <f t="shared" si="3"/>
        <v>2969614874.806272</v>
      </c>
      <c r="F13" s="21">
        <f t="shared" si="3"/>
        <v>3158779342.3314323</v>
      </c>
      <c r="G13" s="21">
        <f t="shared" si="3"/>
        <v>3353991905.6875148</v>
      </c>
      <c r="H13" s="21">
        <f t="shared" si="3"/>
        <v>3550200432.1702342</v>
      </c>
      <c r="I13" s="21">
        <f t="shared" si="3"/>
        <v>3756822097.3225417</v>
      </c>
      <c r="J13" s="21">
        <f t="shared" si="3"/>
        <v>3977723236.6451073</v>
      </c>
      <c r="K13" s="21">
        <f t="shared" si="3"/>
        <v>4210817818.3125105</v>
      </c>
    </row>
    <row r="14" spans="1:11" x14ac:dyDescent="0.2">
      <c r="A14" s="31" t="s">
        <v>342</v>
      </c>
      <c r="B14" s="21">
        <f>B13*0.35</f>
        <v>862400000</v>
      </c>
      <c r="C14" s="21">
        <f>C13*0.35</f>
        <v>912764160</v>
      </c>
      <c r="D14" s="21">
        <f>D13*0.35</f>
        <v>975197228.54400003</v>
      </c>
      <c r="E14" s="21">
        <f>E13*0.35</f>
        <v>1039365206.1821952</v>
      </c>
      <c r="F14" s="21">
        <f>F13*0.35</f>
        <v>1105572769.8160012</v>
      </c>
      <c r="G14" s="21">
        <f>G13*0.35</f>
        <v>1173897166.9906301</v>
      </c>
      <c r="H14" s="21">
        <f>H13*0.35</f>
        <v>1242570151.2595818</v>
      </c>
      <c r="I14" s="21">
        <f>I13*0.35</f>
        <v>1314887734.0628896</v>
      </c>
      <c r="J14" s="21">
        <f>J13*0.35</f>
        <v>1392203132.8257875</v>
      </c>
      <c r="K14" s="21">
        <f>K13*0.35</f>
        <v>1473786236.4093785</v>
      </c>
    </row>
    <row r="15" spans="1:11" x14ac:dyDescent="0.2">
      <c r="A15" s="31" t="s">
        <v>343</v>
      </c>
      <c r="B15" s="21">
        <f>B13-B14</f>
        <v>1601600000</v>
      </c>
      <c r="C15" s="21">
        <f>C13-C14</f>
        <v>1695133440</v>
      </c>
      <c r="D15" s="21">
        <f>D13-D14</f>
        <v>1811080567.296</v>
      </c>
      <c r="E15" s="21">
        <f>E13-E14</f>
        <v>1930249668.6240768</v>
      </c>
      <c r="F15" s="21">
        <f>F13-F14</f>
        <v>2053206572.5154312</v>
      </c>
      <c r="G15" s="21">
        <f>G13-G14</f>
        <v>2180094738.6968846</v>
      </c>
      <c r="H15" s="21">
        <f>H13-H14</f>
        <v>2307630280.9106522</v>
      </c>
      <c r="I15" s="21">
        <f>I13-I14</f>
        <v>2441934363.2596521</v>
      </c>
      <c r="J15" s="21">
        <f>J13-J14</f>
        <v>2585520103.8193197</v>
      </c>
      <c r="K15" s="21">
        <f>K13-K14</f>
        <v>2737031581.903132</v>
      </c>
    </row>
    <row r="16" spans="1:11" x14ac:dyDescent="0.2">
      <c r="A16" s="31" t="s">
        <v>100</v>
      </c>
      <c r="B16">
        <f>1/(1+B9)^B8</f>
        <v>0.94482237339380193</v>
      </c>
      <c r="C16">
        <f>B16/(1+C9)</f>
        <v>0.88433393241651248</v>
      </c>
      <c r="D16">
        <f t="shared" ref="C16:K16" si="4">C16/(1+D9)</f>
        <v>0.829737223134277</v>
      </c>
      <c r="E16">
        <f t="shared" si="4"/>
        <v>0.78004815562120611</v>
      </c>
      <c r="F16">
        <f t="shared" si="4"/>
        <v>0.73464697270786028</v>
      </c>
      <c r="G16">
        <f t="shared" si="4"/>
        <v>0.69404532140563091</v>
      </c>
      <c r="H16">
        <f t="shared" si="4"/>
        <v>0.65587348460180583</v>
      </c>
      <c r="I16">
        <f t="shared" si="4"/>
        <v>0.6194498343424687</v>
      </c>
      <c r="J16">
        <f t="shared" si="4"/>
        <v>0.58515948832653386</v>
      </c>
      <c r="K16">
        <f t="shared" si="4"/>
        <v>0.55281954494712693</v>
      </c>
    </row>
    <row r="17" spans="1:11" x14ac:dyDescent="0.2">
      <c r="A17" s="31" t="s">
        <v>101</v>
      </c>
      <c r="B17" s="21">
        <f>B15*B16</f>
        <v>1513227513.2275131</v>
      </c>
      <c r="C17" s="21">
        <f>C15*C16</f>
        <v>1499064020.9659302</v>
      </c>
      <c r="D17" s="21">
        <f>D15*D16</f>
        <v>1502720960.7806342</v>
      </c>
      <c r="E17" s="21">
        <f>E15*E16</f>
        <v>1505687693.8986554</v>
      </c>
      <c r="F17" s="21">
        <f>F15*F16</f>
        <v>1508381992.8423433</v>
      </c>
      <c r="G17" s="21">
        <f>G15*G16</f>
        <v>1513084553.6136043</v>
      </c>
      <c r="H17" s="21">
        <f>H15*H16</f>
        <v>1513513513.5135136</v>
      </c>
      <c r="I17" s="21">
        <f>I15*I16</f>
        <v>1512655836.7963734</v>
      </c>
      <c r="J17" s="21">
        <f>J15*J16</f>
        <v>1512941621.0088799</v>
      </c>
      <c r="K17" s="21">
        <f>K15*K16</f>
        <v>1513084553.6136043</v>
      </c>
    </row>
    <row r="19" spans="1:11" x14ac:dyDescent="0.2">
      <c r="A19" s="31" t="s">
        <v>102</v>
      </c>
      <c r="B19" s="21">
        <f>SUM(B17:K17)</f>
        <v>15094362260.261051</v>
      </c>
    </row>
    <row r="21" spans="1:11" x14ac:dyDescent="0.2">
      <c r="A21" s="31" t="s">
        <v>103</v>
      </c>
      <c r="B21" s="21">
        <f>B10</f>
        <v>2800000000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14A2-2B49-4495-AB56-1F9BD254EFD5}">
  <dimension ref="A1:J37"/>
  <sheetViews>
    <sheetView showGridLines="0" zoomScale="115" workbookViewId="0">
      <selection activeCell="D12" sqref="D12"/>
    </sheetView>
  </sheetViews>
  <sheetFormatPr baseColWidth="10" defaultColWidth="11" defaultRowHeight="15" x14ac:dyDescent="0.2"/>
  <cols>
    <col min="1" max="1" width="22.1640625" style="74" customWidth="1"/>
    <col min="2" max="2" width="13" style="74" customWidth="1"/>
    <col min="3" max="3" width="20" style="74" customWidth="1"/>
    <col min="4" max="4" width="19.5" style="74" customWidth="1"/>
    <col min="5" max="16384" width="11" style="74"/>
  </cols>
  <sheetData>
    <row r="1" spans="1:7" s="37" customFormat="1" x14ac:dyDescent="0.2">
      <c r="A1" s="79" t="s">
        <v>177</v>
      </c>
      <c r="B1" s="73"/>
      <c r="C1" s="73"/>
      <c r="D1" s="73"/>
      <c r="E1" s="73"/>
      <c r="F1" s="73"/>
      <c r="G1" s="73"/>
    </row>
    <row r="2" spans="1:7" s="37" customFormat="1" ht="18" x14ac:dyDescent="0.2">
      <c r="A2" s="72"/>
      <c r="B2" s="72"/>
      <c r="C2" s="72"/>
      <c r="D2" s="72"/>
      <c r="E2" s="72"/>
      <c r="F2" s="72"/>
      <c r="G2" s="72"/>
    </row>
    <row r="3" spans="1:7" x14ac:dyDescent="0.2">
      <c r="A3" s="73" t="s">
        <v>178</v>
      </c>
      <c r="B3" s="73" t="s">
        <v>171</v>
      </c>
      <c r="C3" s="73" t="s">
        <v>109</v>
      </c>
    </row>
    <row r="4" spans="1:7" x14ac:dyDescent="0.2">
      <c r="A4" s="74" t="s">
        <v>179</v>
      </c>
      <c r="B4" s="75">
        <v>46188</v>
      </c>
      <c r="C4" s="74" t="s">
        <v>180</v>
      </c>
    </row>
    <row r="5" spans="1:7" ht="16.5" customHeight="1" x14ac:dyDescent="0.2">
      <c r="A5" s="74" t="s">
        <v>181</v>
      </c>
      <c r="B5" s="75">
        <v>46188</v>
      </c>
      <c r="C5" s="74" t="s">
        <v>182</v>
      </c>
    </row>
    <row r="6" spans="1:7" x14ac:dyDescent="0.2">
      <c r="C6" s="74" t="s">
        <v>183</v>
      </c>
    </row>
    <row r="7" spans="1:7" x14ac:dyDescent="0.2">
      <c r="C7" s="74" t="s">
        <v>184</v>
      </c>
    </row>
    <row r="10" spans="1:7" x14ac:dyDescent="0.2">
      <c r="A10" s="76" t="s">
        <v>185</v>
      </c>
      <c r="B10" s="76" t="s">
        <v>179</v>
      </c>
      <c r="C10" s="76" t="s">
        <v>181</v>
      </c>
      <c r="D10" s="76" t="s">
        <v>186</v>
      </c>
    </row>
    <row r="11" spans="1:7" x14ac:dyDescent="0.2">
      <c r="A11" s="76">
        <v>2026</v>
      </c>
      <c r="B11" s="77"/>
      <c r="C11" s="78"/>
      <c r="D11" s="78">
        <v>5.8400000000000001E-2</v>
      </c>
    </row>
    <row r="12" spans="1:7" x14ac:dyDescent="0.2">
      <c r="A12" s="76">
        <v>2027</v>
      </c>
      <c r="B12" s="77">
        <v>0.1303</v>
      </c>
      <c r="C12" s="78">
        <v>6.1899999999999997E-2</v>
      </c>
      <c r="D12" s="78">
        <f>B12-C12</f>
        <v>6.8400000000000002E-2</v>
      </c>
    </row>
    <row r="13" spans="1:7" x14ac:dyDescent="0.2">
      <c r="A13" s="76">
        <v>2028</v>
      </c>
      <c r="B13" s="77">
        <v>0.12989999999999999</v>
      </c>
      <c r="C13" s="78">
        <f>AVERAGE(C12,C14)</f>
        <v>6.409999999999999E-2</v>
      </c>
      <c r="D13" s="78">
        <f t="shared" ref="D13:D20" si="0">B13-C13</f>
        <v>6.5799999999999997E-2</v>
      </c>
    </row>
    <row r="14" spans="1:7" x14ac:dyDescent="0.2">
      <c r="A14" s="76">
        <v>2029</v>
      </c>
      <c r="B14" s="77">
        <v>0.13</v>
      </c>
      <c r="C14" s="78">
        <v>6.6299999999999998E-2</v>
      </c>
      <c r="D14" s="78">
        <f t="shared" si="0"/>
        <v>6.3700000000000007E-2</v>
      </c>
    </row>
    <row r="15" spans="1:7" x14ac:dyDescent="0.2">
      <c r="A15" s="76">
        <v>2030</v>
      </c>
      <c r="B15" s="77">
        <v>0.12989999999999999</v>
      </c>
      <c r="C15" s="78">
        <f>AVERAGE(C14,C16)</f>
        <v>6.8150000000000002E-2</v>
      </c>
      <c r="D15" s="78">
        <f t="shared" si="0"/>
        <v>6.1749999999999985E-2</v>
      </c>
    </row>
    <row r="16" spans="1:7" x14ac:dyDescent="0.2">
      <c r="A16" s="76">
        <v>2031</v>
      </c>
      <c r="B16" s="77">
        <v>0.1285</v>
      </c>
      <c r="C16" s="78">
        <v>7.0000000000000007E-2</v>
      </c>
      <c r="D16" s="78">
        <f t="shared" si="0"/>
        <v>5.8499999999999996E-2</v>
      </c>
    </row>
    <row r="17" spans="1:4" x14ac:dyDescent="0.2">
      <c r="A17" s="76">
        <v>2032</v>
      </c>
      <c r="B17" s="77">
        <v>0.1265</v>
      </c>
      <c r="C17" s="78">
        <f>AVERAGE(C16,C18)</f>
        <v>6.8349999999999994E-2</v>
      </c>
      <c r="D17" s="78">
        <f t="shared" si="0"/>
        <v>5.8150000000000007E-2</v>
      </c>
    </row>
    <row r="18" spans="1:4" x14ac:dyDescent="0.2">
      <c r="A18" s="76">
        <v>2033</v>
      </c>
      <c r="B18" s="77">
        <v>0.1255</v>
      </c>
      <c r="C18" s="78">
        <v>6.6699999999999995E-2</v>
      </c>
      <c r="D18" s="78">
        <f t="shared" si="0"/>
        <v>5.8800000000000005E-2</v>
      </c>
    </row>
    <row r="19" spans="1:4" x14ac:dyDescent="0.2">
      <c r="A19" s="76">
        <v>2034</v>
      </c>
      <c r="B19" s="77">
        <v>0.12470000000000001</v>
      </c>
      <c r="C19" s="78">
        <f>AVERAGE(C18,C20)</f>
        <v>6.6099999999999992E-2</v>
      </c>
      <c r="D19" s="78">
        <f t="shared" si="0"/>
        <v>5.8600000000000013E-2</v>
      </c>
    </row>
    <row r="20" spans="1:4" x14ac:dyDescent="0.2">
      <c r="A20" s="76">
        <v>2035</v>
      </c>
      <c r="B20" s="77">
        <v>0.124</v>
      </c>
      <c r="C20" s="78">
        <v>6.5500000000000003E-2</v>
      </c>
      <c r="D20" s="78">
        <f t="shared" si="0"/>
        <v>5.8499999999999996E-2</v>
      </c>
    </row>
    <row r="22" spans="1:4" x14ac:dyDescent="0.2">
      <c r="A22" s="74" t="s">
        <v>187</v>
      </c>
    </row>
    <row r="23" spans="1:4" x14ac:dyDescent="0.2">
      <c r="A23" s="74" t="s">
        <v>188</v>
      </c>
    </row>
    <row r="34" spans="1:10" x14ac:dyDescent="0.2">
      <c r="A34" s="74" t="s">
        <v>189</v>
      </c>
    </row>
    <row r="37" spans="1:10" x14ac:dyDescent="0.2">
      <c r="A37" s="80"/>
      <c r="B37" s="80"/>
      <c r="C37" s="80"/>
      <c r="D37" s="80"/>
      <c r="E37" s="80"/>
      <c r="F37" s="80"/>
      <c r="G37" s="80"/>
      <c r="H37" s="80"/>
      <c r="I37" s="80"/>
      <c r="J37" s="80"/>
    </row>
  </sheetData>
  <hyperlinks>
    <hyperlink ref="C5" r:id="rId1" display="https://www.grupoaval.com/wps/portal/grupo-aval/aval/portal-financiero/renta-fija/tes/datos-historicos" xr:uid="{1605EA08-2849-406F-93B3-4A73CC409EBE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58530-F902-D64A-B3DB-486AE0E52544}">
  <dimension ref="B3:AU18"/>
  <sheetViews>
    <sheetView workbookViewId="0">
      <selection activeCell="D14" sqref="D14"/>
    </sheetView>
  </sheetViews>
  <sheetFormatPr baseColWidth="10" defaultColWidth="11" defaultRowHeight="16" x14ac:dyDescent="0.2"/>
  <cols>
    <col min="2" max="2" width="40" bestFit="1" customWidth="1"/>
    <col min="6" max="6" width="27.5" bestFit="1" customWidth="1"/>
    <col min="7" max="7" width="8.5" bestFit="1" customWidth="1"/>
  </cols>
  <sheetData>
    <row r="3" spans="2:47" x14ac:dyDescent="0.2">
      <c r="C3" t="s">
        <v>171</v>
      </c>
      <c r="D3" s="56">
        <f ca="1">TODAY()</f>
        <v>46193</v>
      </c>
      <c r="G3" s="56">
        <f ca="1">D3</f>
        <v>46193</v>
      </c>
      <c r="H3" s="56">
        <f ca="1">EDATE(G3,3)</f>
        <v>46285</v>
      </c>
      <c r="I3" s="56">
        <f t="shared" ref="I3:AU3" ca="1" si="0">EDATE(H3,3)</f>
        <v>46376</v>
      </c>
      <c r="J3" s="56">
        <f t="shared" ca="1" si="0"/>
        <v>46466</v>
      </c>
      <c r="K3" s="56">
        <f t="shared" ca="1" si="0"/>
        <v>46558</v>
      </c>
      <c r="L3" s="56">
        <f t="shared" ca="1" si="0"/>
        <v>46650</v>
      </c>
      <c r="M3" s="56">
        <f t="shared" ca="1" si="0"/>
        <v>46741</v>
      </c>
      <c r="N3" s="56">
        <f t="shared" ca="1" si="0"/>
        <v>46832</v>
      </c>
      <c r="O3" s="56">
        <f t="shared" ca="1" si="0"/>
        <v>46924</v>
      </c>
      <c r="P3" s="56">
        <f t="shared" ca="1" si="0"/>
        <v>47016</v>
      </c>
      <c r="Q3" s="56">
        <f t="shared" ca="1" si="0"/>
        <v>47107</v>
      </c>
      <c r="R3" s="56">
        <f t="shared" ca="1" si="0"/>
        <v>47197</v>
      </c>
      <c r="S3" s="56">
        <f t="shared" ca="1" si="0"/>
        <v>47289</v>
      </c>
      <c r="T3" s="56">
        <f t="shared" ca="1" si="0"/>
        <v>47381</v>
      </c>
      <c r="U3" s="56">
        <f t="shared" ca="1" si="0"/>
        <v>47472</v>
      </c>
      <c r="V3" s="56">
        <f t="shared" ca="1" si="0"/>
        <v>47562</v>
      </c>
      <c r="W3" s="56">
        <f t="shared" ca="1" si="0"/>
        <v>47654</v>
      </c>
      <c r="X3" s="56">
        <f t="shared" ca="1" si="0"/>
        <v>47746</v>
      </c>
      <c r="Y3" s="56">
        <f t="shared" ca="1" si="0"/>
        <v>47837</v>
      </c>
      <c r="Z3" s="56">
        <f t="shared" ca="1" si="0"/>
        <v>47927</v>
      </c>
      <c r="AA3" s="56">
        <f t="shared" ca="1" si="0"/>
        <v>48019</v>
      </c>
      <c r="AB3" s="56">
        <f t="shared" ca="1" si="0"/>
        <v>48111</v>
      </c>
      <c r="AC3" s="56">
        <f t="shared" ca="1" si="0"/>
        <v>48202</v>
      </c>
      <c r="AD3" s="56">
        <f t="shared" ca="1" si="0"/>
        <v>48293</v>
      </c>
      <c r="AE3" s="56">
        <f t="shared" ca="1" si="0"/>
        <v>48385</v>
      </c>
      <c r="AF3" s="56">
        <f t="shared" ca="1" si="0"/>
        <v>48477</v>
      </c>
      <c r="AG3" s="56">
        <f t="shared" ca="1" si="0"/>
        <v>48568</v>
      </c>
      <c r="AH3" s="56">
        <f t="shared" ca="1" si="0"/>
        <v>48658</v>
      </c>
      <c r="AI3" s="56">
        <f t="shared" ca="1" si="0"/>
        <v>48750</v>
      </c>
      <c r="AJ3" s="56">
        <f t="shared" ca="1" si="0"/>
        <v>48842</v>
      </c>
      <c r="AK3" s="56">
        <f t="shared" ca="1" si="0"/>
        <v>48933</v>
      </c>
      <c r="AL3" s="56">
        <f t="shared" ca="1" si="0"/>
        <v>49023</v>
      </c>
      <c r="AM3" s="56">
        <f t="shared" ca="1" si="0"/>
        <v>49115</v>
      </c>
      <c r="AN3" s="56">
        <f t="shared" ca="1" si="0"/>
        <v>49207</v>
      </c>
      <c r="AO3" s="56">
        <f t="shared" ca="1" si="0"/>
        <v>49298</v>
      </c>
      <c r="AP3" s="56">
        <f t="shared" ca="1" si="0"/>
        <v>49388</v>
      </c>
      <c r="AQ3" s="56">
        <f t="shared" ca="1" si="0"/>
        <v>49480</v>
      </c>
      <c r="AR3" s="56">
        <f t="shared" ca="1" si="0"/>
        <v>49572</v>
      </c>
      <c r="AS3" s="56">
        <f t="shared" ca="1" si="0"/>
        <v>49663</v>
      </c>
      <c r="AT3" s="56">
        <f t="shared" ca="1" si="0"/>
        <v>49754</v>
      </c>
      <c r="AU3" s="56">
        <f t="shared" ca="1" si="0"/>
        <v>49846</v>
      </c>
    </row>
    <row r="4" spans="2:47" x14ac:dyDescent="0.2">
      <c r="C4" t="s">
        <v>190</v>
      </c>
      <c r="D4" s="127">
        <v>10</v>
      </c>
      <c r="F4" t="s">
        <v>191</v>
      </c>
      <c r="G4">
        <v>0</v>
      </c>
      <c r="H4">
        <v>1</v>
      </c>
      <c r="I4">
        <v>2</v>
      </c>
      <c r="J4">
        <v>3</v>
      </c>
      <c r="K4">
        <v>4</v>
      </c>
      <c r="L4">
        <v>5</v>
      </c>
      <c r="M4">
        <v>6</v>
      </c>
      <c r="N4">
        <v>7</v>
      </c>
      <c r="O4">
        <v>8</v>
      </c>
      <c r="P4">
        <v>9</v>
      </c>
      <c r="Q4">
        <v>10</v>
      </c>
      <c r="R4">
        <v>11</v>
      </c>
      <c r="S4">
        <v>12</v>
      </c>
      <c r="T4">
        <v>13</v>
      </c>
      <c r="U4">
        <v>14</v>
      </c>
      <c r="V4">
        <v>15</v>
      </c>
      <c r="W4">
        <v>16</v>
      </c>
      <c r="X4">
        <v>17</v>
      </c>
      <c r="Y4">
        <v>18</v>
      </c>
      <c r="Z4">
        <v>19</v>
      </c>
      <c r="AA4">
        <v>20</v>
      </c>
      <c r="AB4">
        <v>21</v>
      </c>
      <c r="AC4">
        <v>22</v>
      </c>
      <c r="AD4">
        <v>23</v>
      </c>
      <c r="AE4">
        <v>24</v>
      </c>
      <c r="AF4">
        <v>25</v>
      </c>
      <c r="AG4">
        <v>26</v>
      </c>
      <c r="AH4">
        <v>27</v>
      </c>
      <c r="AI4">
        <v>28</v>
      </c>
      <c r="AJ4">
        <v>29</v>
      </c>
      <c r="AK4">
        <v>30</v>
      </c>
      <c r="AL4">
        <v>31</v>
      </c>
      <c r="AM4">
        <v>32</v>
      </c>
      <c r="AN4">
        <v>33</v>
      </c>
      <c r="AO4">
        <v>34</v>
      </c>
      <c r="AP4">
        <v>35</v>
      </c>
      <c r="AQ4">
        <v>36</v>
      </c>
      <c r="AR4">
        <v>37</v>
      </c>
      <c r="AS4">
        <v>38</v>
      </c>
      <c r="AT4">
        <v>39</v>
      </c>
      <c r="AU4">
        <v>40</v>
      </c>
    </row>
    <row r="5" spans="2:47" x14ac:dyDescent="0.2">
      <c r="B5" t="s">
        <v>192</v>
      </c>
      <c r="C5" t="s">
        <v>193</v>
      </c>
      <c r="D5" s="21">
        <f>Datos!C10*Datos!C35</f>
        <v>11200</v>
      </c>
      <c r="F5" t="s">
        <v>194</v>
      </c>
      <c r="H5">
        <f>90</f>
        <v>90</v>
      </c>
      <c r="I5">
        <f>90</f>
        <v>90</v>
      </c>
      <c r="J5">
        <f>90</f>
        <v>90</v>
      </c>
      <c r="K5">
        <f>90</f>
        <v>90</v>
      </c>
      <c r="L5">
        <f>90</f>
        <v>90</v>
      </c>
      <c r="M5">
        <f>90</f>
        <v>90</v>
      </c>
      <c r="N5">
        <f>90</f>
        <v>90</v>
      </c>
      <c r="O5">
        <f>90</f>
        <v>90</v>
      </c>
      <c r="P5">
        <f>90</f>
        <v>90</v>
      </c>
      <c r="Q5">
        <f>90</f>
        <v>90</v>
      </c>
      <c r="R5">
        <f>90</f>
        <v>90</v>
      </c>
      <c r="S5">
        <f>90</f>
        <v>90</v>
      </c>
      <c r="T5">
        <f>90</f>
        <v>90</v>
      </c>
      <c r="U5">
        <f>90</f>
        <v>90</v>
      </c>
      <c r="V5">
        <f>90</f>
        <v>90</v>
      </c>
      <c r="W5">
        <f>90</f>
        <v>90</v>
      </c>
      <c r="X5">
        <f>90</f>
        <v>90</v>
      </c>
      <c r="Y5">
        <f>90</f>
        <v>90</v>
      </c>
      <c r="Z5">
        <f>90</f>
        <v>90</v>
      </c>
      <c r="AA5">
        <f>90</f>
        <v>90</v>
      </c>
      <c r="AB5">
        <f>90</f>
        <v>90</v>
      </c>
      <c r="AC5">
        <f>90</f>
        <v>90</v>
      </c>
      <c r="AD5">
        <f>90</f>
        <v>90</v>
      </c>
      <c r="AE5">
        <f>90</f>
        <v>90</v>
      </c>
      <c r="AF5">
        <f>90</f>
        <v>90</v>
      </c>
      <c r="AG5">
        <f>90</f>
        <v>90</v>
      </c>
      <c r="AH5">
        <f>90</f>
        <v>90</v>
      </c>
      <c r="AI5">
        <f>90</f>
        <v>90</v>
      </c>
      <c r="AJ5">
        <f>90</f>
        <v>90</v>
      </c>
      <c r="AK5">
        <f>90</f>
        <v>90</v>
      </c>
      <c r="AL5">
        <f>90</f>
        <v>90</v>
      </c>
      <c r="AM5">
        <f>90</f>
        <v>90</v>
      </c>
      <c r="AN5">
        <f>90</f>
        <v>90</v>
      </c>
      <c r="AO5">
        <f>90</f>
        <v>90</v>
      </c>
      <c r="AP5">
        <f>90</f>
        <v>90</v>
      </c>
      <c r="AQ5">
        <f>90</f>
        <v>90</v>
      </c>
      <c r="AR5">
        <f>90</f>
        <v>90</v>
      </c>
      <c r="AS5">
        <f>90</f>
        <v>90</v>
      </c>
      <c r="AT5">
        <f>90</f>
        <v>90</v>
      </c>
      <c r="AU5">
        <f>90</f>
        <v>90</v>
      </c>
    </row>
    <row r="6" spans="2:47" x14ac:dyDescent="0.2">
      <c r="B6" t="s">
        <v>195</v>
      </c>
      <c r="C6" t="s">
        <v>196</v>
      </c>
      <c r="D6" s="128" t="s">
        <v>197</v>
      </c>
      <c r="F6" t="s">
        <v>198</v>
      </c>
      <c r="H6" s="41">
        <f>$D$17</f>
        <v>5.2188552188552187E-2</v>
      </c>
      <c r="I6" s="41">
        <f t="shared" ref="I6:AU6" si="1">$D$17</f>
        <v>5.2188552188552187E-2</v>
      </c>
      <c r="J6" s="41">
        <f t="shared" si="1"/>
        <v>5.2188552188552187E-2</v>
      </c>
      <c r="K6" s="41">
        <f t="shared" si="1"/>
        <v>5.2188552188552187E-2</v>
      </c>
      <c r="L6" s="41">
        <f t="shared" si="1"/>
        <v>5.2188552188552187E-2</v>
      </c>
      <c r="M6" s="41">
        <f t="shared" si="1"/>
        <v>5.2188552188552187E-2</v>
      </c>
      <c r="N6" s="41">
        <f t="shared" si="1"/>
        <v>5.2188552188552187E-2</v>
      </c>
      <c r="O6" s="41">
        <f t="shared" si="1"/>
        <v>5.2188552188552187E-2</v>
      </c>
      <c r="P6" s="41">
        <f t="shared" si="1"/>
        <v>5.2188552188552187E-2</v>
      </c>
      <c r="Q6" s="41">
        <f t="shared" si="1"/>
        <v>5.2188552188552187E-2</v>
      </c>
      <c r="R6" s="41">
        <f t="shared" si="1"/>
        <v>5.2188552188552187E-2</v>
      </c>
      <c r="S6" s="41">
        <f t="shared" si="1"/>
        <v>5.2188552188552187E-2</v>
      </c>
      <c r="T6" s="41">
        <f t="shared" si="1"/>
        <v>5.2188552188552187E-2</v>
      </c>
      <c r="U6" s="41">
        <f t="shared" si="1"/>
        <v>5.2188552188552187E-2</v>
      </c>
      <c r="V6" s="41">
        <f t="shared" si="1"/>
        <v>5.2188552188552187E-2</v>
      </c>
      <c r="W6" s="41">
        <f t="shared" si="1"/>
        <v>5.2188552188552187E-2</v>
      </c>
      <c r="X6" s="41">
        <f t="shared" si="1"/>
        <v>5.2188552188552187E-2</v>
      </c>
      <c r="Y6" s="41">
        <f t="shared" si="1"/>
        <v>5.2188552188552187E-2</v>
      </c>
      <c r="Z6" s="41">
        <f t="shared" si="1"/>
        <v>5.2188552188552187E-2</v>
      </c>
      <c r="AA6" s="41">
        <f t="shared" si="1"/>
        <v>5.2188552188552187E-2</v>
      </c>
      <c r="AB6" s="41">
        <f t="shared" si="1"/>
        <v>5.2188552188552187E-2</v>
      </c>
      <c r="AC6" s="41">
        <f t="shared" si="1"/>
        <v>5.2188552188552187E-2</v>
      </c>
      <c r="AD6" s="41">
        <f t="shared" si="1"/>
        <v>5.2188552188552187E-2</v>
      </c>
      <c r="AE6" s="41">
        <f t="shared" si="1"/>
        <v>5.2188552188552187E-2</v>
      </c>
      <c r="AF6" s="41">
        <f t="shared" si="1"/>
        <v>5.2188552188552187E-2</v>
      </c>
      <c r="AG6" s="41">
        <f t="shared" si="1"/>
        <v>5.2188552188552187E-2</v>
      </c>
      <c r="AH6" s="41">
        <f t="shared" si="1"/>
        <v>5.2188552188552187E-2</v>
      </c>
      <c r="AI6" s="41">
        <f t="shared" si="1"/>
        <v>5.2188552188552187E-2</v>
      </c>
      <c r="AJ6" s="41">
        <f t="shared" si="1"/>
        <v>5.2188552188552187E-2</v>
      </c>
      <c r="AK6" s="41">
        <f t="shared" si="1"/>
        <v>5.2188552188552187E-2</v>
      </c>
      <c r="AL6" s="41">
        <f t="shared" si="1"/>
        <v>5.2188552188552187E-2</v>
      </c>
      <c r="AM6" s="41">
        <f t="shared" si="1"/>
        <v>5.2188552188552187E-2</v>
      </c>
      <c r="AN6" s="41">
        <f t="shared" si="1"/>
        <v>5.2188552188552187E-2</v>
      </c>
      <c r="AO6" s="41">
        <f t="shared" si="1"/>
        <v>5.2188552188552187E-2</v>
      </c>
      <c r="AP6" s="41">
        <f t="shared" si="1"/>
        <v>5.2188552188552187E-2</v>
      </c>
      <c r="AQ6" s="41">
        <f t="shared" si="1"/>
        <v>5.2188552188552187E-2</v>
      </c>
      <c r="AR6" s="41">
        <f t="shared" si="1"/>
        <v>5.2188552188552187E-2</v>
      </c>
      <c r="AS6" s="41">
        <f t="shared" si="1"/>
        <v>5.2188552188552187E-2</v>
      </c>
      <c r="AT6" s="41">
        <f t="shared" si="1"/>
        <v>5.2188552188552187E-2</v>
      </c>
      <c r="AU6" s="41">
        <f t="shared" si="1"/>
        <v>5.2188552188552187E-2</v>
      </c>
    </row>
    <row r="7" spans="2:47" x14ac:dyDescent="0.2">
      <c r="B7" t="s">
        <v>199</v>
      </c>
      <c r="C7" t="s">
        <v>196</v>
      </c>
      <c r="D7" s="11">
        <v>0.105</v>
      </c>
      <c r="F7" t="s">
        <v>200</v>
      </c>
      <c r="G7">
        <f>D5</f>
        <v>11200</v>
      </c>
      <c r="H7">
        <f>G7-H10</f>
        <v>11200</v>
      </c>
      <c r="I7">
        <f t="shared" ref="I7:T7" si="2">H7-I10</f>
        <v>11200</v>
      </c>
      <c r="J7">
        <f t="shared" si="2"/>
        <v>11200</v>
      </c>
      <c r="K7">
        <f t="shared" si="2"/>
        <v>11200</v>
      </c>
      <c r="L7">
        <f t="shared" si="2"/>
        <v>10888.888888888889</v>
      </c>
      <c r="M7">
        <f t="shared" si="2"/>
        <v>10577.777777777777</v>
      </c>
      <c r="N7">
        <f t="shared" si="2"/>
        <v>10266.666666666666</v>
      </c>
      <c r="O7">
        <f>N7-O10</f>
        <v>9955.5555555555547</v>
      </c>
      <c r="P7">
        <f t="shared" si="2"/>
        <v>9644.4444444444434</v>
      </c>
      <c r="Q7">
        <f t="shared" si="2"/>
        <v>9333.3333333333321</v>
      </c>
      <c r="R7">
        <f t="shared" si="2"/>
        <v>9022.2222222222208</v>
      </c>
      <c r="S7">
        <f t="shared" si="2"/>
        <v>8711.1111111111095</v>
      </c>
      <c r="T7">
        <f t="shared" si="2"/>
        <v>8399.9999999999982</v>
      </c>
      <c r="U7">
        <f t="shared" ref="U7:AP7" si="3">T7-U10</f>
        <v>8088.8888888888869</v>
      </c>
      <c r="V7">
        <f t="shared" si="3"/>
        <v>7777.7777777777756</v>
      </c>
      <c r="W7">
        <f t="shared" si="3"/>
        <v>7466.6666666666642</v>
      </c>
      <c r="X7">
        <f t="shared" si="3"/>
        <v>7155.5555555555529</v>
      </c>
      <c r="Y7">
        <f t="shared" si="3"/>
        <v>6844.4444444444416</v>
      </c>
      <c r="Z7">
        <f t="shared" si="3"/>
        <v>6533.3333333333303</v>
      </c>
      <c r="AA7">
        <f t="shared" si="3"/>
        <v>6222.222222222219</v>
      </c>
      <c r="AB7">
        <f t="shared" si="3"/>
        <v>5911.1111111111077</v>
      </c>
      <c r="AC7">
        <f t="shared" si="3"/>
        <v>5599.9999999999964</v>
      </c>
      <c r="AD7">
        <f t="shared" si="3"/>
        <v>5288.888888888885</v>
      </c>
      <c r="AE7">
        <f t="shared" si="3"/>
        <v>4977.7777777777737</v>
      </c>
      <c r="AF7">
        <f t="shared" si="3"/>
        <v>4666.6666666666624</v>
      </c>
      <c r="AG7">
        <f t="shared" si="3"/>
        <v>4355.5555555555511</v>
      </c>
      <c r="AH7">
        <f t="shared" si="3"/>
        <v>4044.4444444444398</v>
      </c>
      <c r="AI7">
        <f t="shared" si="3"/>
        <v>3733.3333333333285</v>
      </c>
      <c r="AJ7">
        <f t="shared" si="3"/>
        <v>3422.2222222222172</v>
      </c>
      <c r="AK7">
        <f t="shared" si="3"/>
        <v>3111.1111111111059</v>
      </c>
      <c r="AL7">
        <f t="shared" si="3"/>
        <v>2799.9999999999945</v>
      </c>
      <c r="AM7">
        <f t="shared" si="3"/>
        <v>2488.8888888888832</v>
      </c>
      <c r="AN7">
        <f t="shared" si="3"/>
        <v>2177.7777777777719</v>
      </c>
      <c r="AO7">
        <f t="shared" si="3"/>
        <v>1866.6666666666608</v>
      </c>
      <c r="AP7">
        <f t="shared" si="3"/>
        <v>1555.5555555555497</v>
      </c>
      <c r="AQ7">
        <f>AP7-AQ10</f>
        <v>1244.4444444444387</v>
      </c>
      <c r="AR7">
        <f t="shared" ref="AR7" si="4">AQ7-AR10</f>
        <v>933.33333333332757</v>
      </c>
      <c r="AS7">
        <f>AR7-AS10</f>
        <v>622.22222222221649</v>
      </c>
      <c r="AT7">
        <f t="shared" ref="AT7" si="5">AS7-AT10</f>
        <v>311.1111111111054</v>
      </c>
      <c r="AU7">
        <v>0</v>
      </c>
    </row>
    <row r="8" spans="2:47" x14ac:dyDescent="0.2">
      <c r="B8" t="s">
        <v>201</v>
      </c>
      <c r="C8" t="s">
        <v>202</v>
      </c>
      <c r="D8">
        <v>4</v>
      </c>
      <c r="F8" t="s">
        <v>203</v>
      </c>
      <c r="G8">
        <f>D5</f>
        <v>11200</v>
      </c>
    </row>
    <row r="9" spans="2:47" x14ac:dyDescent="0.2">
      <c r="B9" t="s">
        <v>204</v>
      </c>
      <c r="C9" t="s">
        <v>163</v>
      </c>
      <c r="D9">
        <v>5000</v>
      </c>
      <c r="F9" t="s">
        <v>154</v>
      </c>
      <c r="H9">
        <f>G7*H6</f>
        <v>584.51178451178453</v>
      </c>
      <c r="I9">
        <f t="shared" ref="I9:T9" si="6">H7*I6</f>
        <v>584.51178451178453</v>
      </c>
      <c r="J9">
        <f t="shared" si="6"/>
        <v>584.51178451178453</v>
      </c>
      <c r="K9">
        <f t="shared" si="6"/>
        <v>584.51178451178453</v>
      </c>
      <c r="L9">
        <f t="shared" si="6"/>
        <v>584.51178451178453</v>
      </c>
      <c r="M9">
        <f t="shared" si="6"/>
        <v>568.27534605312383</v>
      </c>
      <c r="N9">
        <f t="shared" si="6"/>
        <v>552.03890759446313</v>
      </c>
      <c r="O9">
        <f t="shared" si="6"/>
        <v>535.80246913580243</v>
      </c>
      <c r="P9">
        <f t="shared" si="6"/>
        <v>519.56603067714173</v>
      </c>
      <c r="Q9">
        <f t="shared" si="6"/>
        <v>503.32959221848103</v>
      </c>
      <c r="R9">
        <f t="shared" si="6"/>
        <v>487.09315375982032</v>
      </c>
      <c r="S9">
        <f t="shared" si="6"/>
        <v>470.85671530115968</v>
      </c>
      <c r="T9">
        <f t="shared" si="6"/>
        <v>454.62027684249898</v>
      </c>
      <c r="U9">
        <f t="shared" ref="U9:AP9" si="7">T7*U6</f>
        <v>438.38383838383828</v>
      </c>
      <c r="V9">
        <f t="shared" si="7"/>
        <v>422.14739992517758</v>
      </c>
      <c r="W9">
        <f t="shared" si="7"/>
        <v>405.91096146651688</v>
      </c>
      <c r="X9">
        <f t="shared" si="7"/>
        <v>389.67452300785618</v>
      </c>
      <c r="Y9">
        <f t="shared" si="7"/>
        <v>373.43808454919554</v>
      </c>
      <c r="Z9">
        <f t="shared" si="7"/>
        <v>357.20164609053484</v>
      </c>
      <c r="AA9">
        <f t="shared" si="7"/>
        <v>340.96520763187414</v>
      </c>
      <c r="AB9">
        <f t="shared" si="7"/>
        <v>324.72876917321344</v>
      </c>
      <c r="AC9">
        <f t="shared" si="7"/>
        <v>308.49233071455274</v>
      </c>
      <c r="AD9">
        <f t="shared" si="7"/>
        <v>292.25589225589204</v>
      </c>
      <c r="AE9">
        <f t="shared" si="7"/>
        <v>276.01945379723139</v>
      </c>
      <c r="AF9">
        <f t="shared" si="7"/>
        <v>259.78301533857069</v>
      </c>
      <c r="AG9">
        <f t="shared" si="7"/>
        <v>243.54657687990999</v>
      </c>
      <c r="AH9">
        <f t="shared" si="7"/>
        <v>227.31013842124929</v>
      </c>
      <c r="AI9">
        <f t="shared" si="7"/>
        <v>211.07369996258859</v>
      </c>
      <c r="AJ9">
        <f t="shared" si="7"/>
        <v>194.83726150392792</v>
      </c>
      <c r="AK9">
        <f t="shared" si="7"/>
        <v>178.60082304526722</v>
      </c>
      <c r="AL9">
        <f t="shared" si="7"/>
        <v>162.36438458660652</v>
      </c>
      <c r="AM9">
        <f t="shared" si="7"/>
        <v>146.12794612794585</v>
      </c>
      <c r="AN9">
        <f t="shared" si="7"/>
        <v>129.89150766928515</v>
      </c>
      <c r="AO9">
        <f t="shared" si="7"/>
        <v>113.65506921062446</v>
      </c>
      <c r="AP9">
        <f t="shared" si="7"/>
        <v>97.418630751963775</v>
      </c>
      <c r="AQ9">
        <f>AP7*AQ6</f>
        <v>81.182192293303103</v>
      </c>
      <c r="AR9">
        <f t="shared" ref="AR9" si="8">AQ7*AR6</f>
        <v>64.945753834642417</v>
      </c>
      <c r="AS9">
        <f>AR7*AS6</f>
        <v>48.709315375981738</v>
      </c>
      <c r="AT9">
        <f t="shared" ref="AT9" si="9">AS7*AT6</f>
        <v>32.472876917321059</v>
      </c>
      <c r="AU9">
        <f>AT7*AU6</f>
        <v>16.236438458660384</v>
      </c>
    </row>
    <row r="10" spans="2:47" x14ac:dyDescent="0.2">
      <c r="B10" t="s">
        <v>205</v>
      </c>
      <c r="C10" t="s">
        <v>206</v>
      </c>
      <c r="D10">
        <v>1</v>
      </c>
      <c r="F10" t="s">
        <v>207</v>
      </c>
      <c r="H10">
        <f>0</f>
        <v>0</v>
      </c>
      <c r="I10">
        <f>0</f>
        <v>0</v>
      </c>
      <c r="J10">
        <f>0</f>
        <v>0</v>
      </c>
      <c r="K10">
        <f>0</f>
        <v>0</v>
      </c>
      <c r="L10">
        <f>$G$8/36</f>
        <v>311.11111111111109</v>
      </c>
      <c r="M10">
        <f t="shared" ref="M10:AU10" si="10">$G$8/36</f>
        <v>311.11111111111109</v>
      </c>
      <c r="N10">
        <f t="shared" si="10"/>
        <v>311.11111111111109</v>
      </c>
      <c r="O10">
        <f t="shared" si="10"/>
        <v>311.11111111111109</v>
      </c>
      <c r="P10">
        <f t="shared" si="10"/>
        <v>311.11111111111109</v>
      </c>
      <c r="Q10">
        <f t="shared" si="10"/>
        <v>311.11111111111109</v>
      </c>
      <c r="R10">
        <f t="shared" si="10"/>
        <v>311.11111111111109</v>
      </c>
      <c r="S10">
        <f t="shared" si="10"/>
        <v>311.11111111111109</v>
      </c>
      <c r="T10">
        <f t="shared" si="10"/>
        <v>311.11111111111109</v>
      </c>
      <c r="U10">
        <f t="shared" si="10"/>
        <v>311.11111111111109</v>
      </c>
      <c r="V10">
        <f t="shared" si="10"/>
        <v>311.11111111111109</v>
      </c>
      <c r="W10">
        <f t="shared" si="10"/>
        <v>311.11111111111109</v>
      </c>
      <c r="X10">
        <f t="shared" si="10"/>
        <v>311.11111111111109</v>
      </c>
      <c r="Y10">
        <f t="shared" si="10"/>
        <v>311.11111111111109</v>
      </c>
      <c r="Z10">
        <f t="shared" si="10"/>
        <v>311.11111111111109</v>
      </c>
      <c r="AA10">
        <f t="shared" si="10"/>
        <v>311.11111111111109</v>
      </c>
      <c r="AB10">
        <f t="shared" si="10"/>
        <v>311.11111111111109</v>
      </c>
      <c r="AC10">
        <f t="shared" si="10"/>
        <v>311.11111111111109</v>
      </c>
      <c r="AD10">
        <f t="shared" si="10"/>
        <v>311.11111111111109</v>
      </c>
      <c r="AE10">
        <f t="shared" si="10"/>
        <v>311.11111111111109</v>
      </c>
      <c r="AF10">
        <f t="shared" si="10"/>
        <v>311.11111111111109</v>
      </c>
      <c r="AG10">
        <f t="shared" si="10"/>
        <v>311.11111111111109</v>
      </c>
      <c r="AH10">
        <f t="shared" si="10"/>
        <v>311.11111111111109</v>
      </c>
      <c r="AI10">
        <f t="shared" si="10"/>
        <v>311.11111111111109</v>
      </c>
      <c r="AJ10">
        <f t="shared" si="10"/>
        <v>311.11111111111109</v>
      </c>
      <c r="AK10">
        <f t="shared" si="10"/>
        <v>311.11111111111109</v>
      </c>
      <c r="AL10">
        <f t="shared" si="10"/>
        <v>311.11111111111109</v>
      </c>
      <c r="AM10">
        <f t="shared" si="10"/>
        <v>311.11111111111109</v>
      </c>
      <c r="AN10">
        <f t="shared" si="10"/>
        <v>311.11111111111109</v>
      </c>
      <c r="AO10">
        <f t="shared" si="10"/>
        <v>311.11111111111109</v>
      </c>
      <c r="AP10">
        <f t="shared" si="10"/>
        <v>311.11111111111109</v>
      </c>
      <c r="AQ10">
        <f t="shared" si="10"/>
        <v>311.11111111111109</v>
      </c>
      <c r="AR10">
        <f t="shared" si="10"/>
        <v>311.11111111111109</v>
      </c>
      <c r="AS10">
        <f t="shared" si="10"/>
        <v>311.11111111111109</v>
      </c>
      <c r="AT10">
        <f t="shared" si="10"/>
        <v>311.11111111111109</v>
      </c>
      <c r="AU10">
        <f t="shared" si="10"/>
        <v>311.11111111111109</v>
      </c>
    </row>
    <row r="11" spans="2:47" x14ac:dyDescent="0.2">
      <c r="B11" t="s">
        <v>44</v>
      </c>
      <c r="C11" t="s">
        <v>196</v>
      </c>
      <c r="D11" s="10">
        <v>0.06</v>
      </c>
      <c r="F11" t="s">
        <v>208</v>
      </c>
      <c r="H11">
        <f>H9+H10</f>
        <v>584.51178451178453</v>
      </c>
      <c r="I11">
        <f t="shared" ref="I11:T11" si="11">I9+I10</f>
        <v>584.51178451178453</v>
      </c>
      <c r="J11">
        <f t="shared" si="11"/>
        <v>584.51178451178453</v>
      </c>
      <c r="K11">
        <f t="shared" si="11"/>
        <v>584.51178451178453</v>
      </c>
      <c r="L11">
        <f t="shared" si="11"/>
        <v>895.62289562289561</v>
      </c>
      <c r="M11">
        <f t="shared" si="11"/>
        <v>879.38645716423491</v>
      </c>
      <c r="N11">
        <f t="shared" si="11"/>
        <v>863.15001870557421</v>
      </c>
      <c r="O11">
        <f t="shared" si="11"/>
        <v>846.91358024691351</v>
      </c>
      <c r="P11">
        <f t="shared" si="11"/>
        <v>830.67714178825281</v>
      </c>
      <c r="Q11">
        <f t="shared" si="11"/>
        <v>814.44070332959211</v>
      </c>
      <c r="R11">
        <f t="shared" si="11"/>
        <v>798.20426487093141</v>
      </c>
      <c r="S11">
        <f t="shared" si="11"/>
        <v>781.96782641227082</v>
      </c>
      <c r="T11">
        <f t="shared" si="11"/>
        <v>765.73138795361001</v>
      </c>
      <c r="U11">
        <f t="shared" ref="U11" si="12">U9+U10</f>
        <v>749.49494949494942</v>
      </c>
      <c r="V11">
        <f t="shared" ref="V11" si="13">V9+V10</f>
        <v>733.25851103628861</v>
      </c>
      <c r="W11">
        <f t="shared" ref="W11" si="14">W9+W10</f>
        <v>717.02207257762802</v>
      </c>
      <c r="X11">
        <f t="shared" ref="X11" si="15">X9+X10</f>
        <v>700.78563411896721</v>
      </c>
      <c r="Y11">
        <f t="shared" ref="Y11" si="16">Y9+Y10</f>
        <v>684.54919566030662</v>
      </c>
      <c r="Z11">
        <f t="shared" ref="Z11" si="17">Z9+Z10</f>
        <v>668.31275720164592</v>
      </c>
      <c r="AA11">
        <f t="shared" ref="AA11" si="18">AA9+AA10</f>
        <v>652.07631874298522</v>
      </c>
      <c r="AB11">
        <f t="shared" ref="AB11" si="19">AB9+AB10</f>
        <v>635.83988028432452</v>
      </c>
      <c r="AC11">
        <f t="shared" ref="AC11" si="20">AC9+AC10</f>
        <v>619.60344182566382</v>
      </c>
      <c r="AD11">
        <f t="shared" ref="AD11" si="21">AD9+AD10</f>
        <v>603.36700336700312</v>
      </c>
      <c r="AE11">
        <f t="shared" ref="AE11:AF11" si="22">AE9+AE10</f>
        <v>587.13056490834242</v>
      </c>
      <c r="AF11">
        <f t="shared" si="22"/>
        <v>570.89412644968183</v>
      </c>
      <c r="AG11">
        <f t="shared" ref="AG11" si="23">AG9+AG10</f>
        <v>554.65768799102102</v>
      </c>
      <c r="AH11">
        <f t="shared" ref="AH11" si="24">AH9+AH10</f>
        <v>538.42124953236043</v>
      </c>
      <c r="AI11">
        <f t="shared" ref="AI11" si="25">AI9+AI10</f>
        <v>522.18481107369962</v>
      </c>
      <c r="AJ11">
        <f t="shared" ref="AJ11" si="26">AJ9+AJ10</f>
        <v>505.94837261503903</v>
      </c>
      <c r="AK11">
        <f t="shared" ref="AK11" si="27">AK9+AK10</f>
        <v>489.71193415637833</v>
      </c>
      <c r="AL11">
        <f t="shared" ref="AL11" si="28">AL9+AL10</f>
        <v>473.47549569771763</v>
      </c>
      <c r="AM11">
        <f t="shared" ref="AM11" si="29">AM9+AM10</f>
        <v>457.23905723905693</v>
      </c>
      <c r="AN11">
        <f t="shared" ref="AN11" si="30">AN9+AN10</f>
        <v>441.00261878039623</v>
      </c>
      <c r="AO11">
        <f t="shared" ref="AO11" si="31">AO9+AO10</f>
        <v>424.76618032173553</v>
      </c>
      <c r="AP11">
        <f t="shared" ref="AP11" si="32">AP9+AP10</f>
        <v>408.52974186307483</v>
      </c>
      <c r="AQ11">
        <f>AQ9+AQ10</f>
        <v>392.29330340441419</v>
      </c>
      <c r="AR11">
        <f t="shared" ref="AR11" si="33">AR9+AR10</f>
        <v>376.05686494575349</v>
      </c>
      <c r="AS11">
        <f>AS9+AS10</f>
        <v>359.82042648709285</v>
      </c>
      <c r="AT11">
        <f t="shared" ref="AT11" si="34">AT9+AT10</f>
        <v>343.58398802843215</v>
      </c>
      <c r="AU11">
        <f>AU9+AU10</f>
        <v>327.34754956977145</v>
      </c>
    </row>
    <row r="12" spans="2:47" x14ac:dyDescent="0.2">
      <c r="F12" t="s">
        <v>44</v>
      </c>
      <c r="G12">
        <f>G8*D11</f>
        <v>672</v>
      </c>
    </row>
    <row r="13" spans="2:47" x14ac:dyDescent="0.2">
      <c r="B13" t="s">
        <v>209</v>
      </c>
      <c r="C13" t="s">
        <v>196</v>
      </c>
      <c r="D13" s="12">
        <v>9.3399999999999997E-2</v>
      </c>
      <c r="F13" t="s">
        <v>210</v>
      </c>
      <c r="G13">
        <f>G7-G12</f>
        <v>10528</v>
      </c>
      <c r="H13">
        <f>-H11</f>
        <v>-584.51178451178453</v>
      </c>
      <c r="I13">
        <f t="shared" ref="I13:T13" si="35">-I11</f>
        <v>-584.51178451178453</v>
      </c>
      <c r="J13">
        <f t="shared" si="35"/>
        <v>-584.51178451178453</v>
      </c>
      <c r="K13">
        <f t="shared" si="35"/>
        <v>-584.51178451178453</v>
      </c>
      <c r="L13">
        <f t="shared" si="35"/>
        <v>-895.62289562289561</v>
      </c>
      <c r="M13">
        <f t="shared" si="35"/>
        <v>-879.38645716423491</v>
      </c>
      <c r="N13">
        <f t="shared" si="35"/>
        <v>-863.15001870557421</v>
      </c>
      <c r="O13">
        <f t="shared" si="35"/>
        <v>-846.91358024691351</v>
      </c>
      <c r="P13">
        <f t="shared" si="35"/>
        <v>-830.67714178825281</v>
      </c>
      <c r="Q13">
        <f t="shared" si="35"/>
        <v>-814.44070332959211</v>
      </c>
      <c r="R13">
        <f t="shared" si="35"/>
        <v>-798.20426487093141</v>
      </c>
      <c r="S13">
        <f t="shared" si="35"/>
        <v>-781.96782641227082</v>
      </c>
      <c r="T13">
        <f t="shared" si="35"/>
        <v>-765.73138795361001</v>
      </c>
      <c r="U13">
        <f t="shared" ref="U13:AP13" si="36">-U11</f>
        <v>-749.49494949494942</v>
      </c>
      <c r="V13">
        <f t="shared" si="36"/>
        <v>-733.25851103628861</v>
      </c>
      <c r="W13">
        <f t="shared" si="36"/>
        <v>-717.02207257762802</v>
      </c>
      <c r="X13">
        <f t="shared" si="36"/>
        <v>-700.78563411896721</v>
      </c>
      <c r="Y13">
        <f t="shared" si="36"/>
        <v>-684.54919566030662</v>
      </c>
      <c r="Z13">
        <f t="shared" si="36"/>
        <v>-668.31275720164592</v>
      </c>
      <c r="AA13">
        <f t="shared" si="36"/>
        <v>-652.07631874298522</v>
      </c>
      <c r="AB13">
        <f t="shared" si="36"/>
        <v>-635.83988028432452</v>
      </c>
      <c r="AC13">
        <f t="shared" si="36"/>
        <v>-619.60344182566382</v>
      </c>
      <c r="AD13">
        <f t="shared" si="36"/>
        <v>-603.36700336700312</v>
      </c>
      <c r="AE13">
        <f t="shared" si="36"/>
        <v>-587.13056490834242</v>
      </c>
      <c r="AF13">
        <f t="shared" si="36"/>
        <v>-570.89412644968183</v>
      </c>
      <c r="AG13">
        <f t="shared" si="36"/>
        <v>-554.65768799102102</v>
      </c>
      <c r="AH13">
        <f t="shared" si="36"/>
        <v>-538.42124953236043</v>
      </c>
      <c r="AI13">
        <f t="shared" si="36"/>
        <v>-522.18481107369962</v>
      </c>
      <c r="AJ13">
        <f t="shared" si="36"/>
        <v>-505.94837261503903</v>
      </c>
      <c r="AK13">
        <f t="shared" si="36"/>
        <v>-489.71193415637833</v>
      </c>
      <c r="AL13">
        <f t="shared" si="36"/>
        <v>-473.47549569771763</v>
      </c>
      <c r="AM13">
        <f t="shared" si="36"/>
        <v>-457.23905723905693</v>
      </c>
      <c r="AN13">
        <f t="shared" si="36"/>
        <v>-441.00261878039623</v>
      </c>
      <c r="AO13">
        <f t="shared" si="36"/>
        <v>-424.76618032173553</v>
      </c>
      <c r="AP13">
        <f t="shared" si="36"/>
        <v>-408.52974186307483</v>
      </c>
      <c r="AQ13">
        <f>-AQ11</f>
        <v>-392.29330340441419</v>
      </c>
      <c r="AR13">
        <f t="shared" ref="AR13" si="37">-AR11</f>
        <v>-376.05686494575349</v>
      </c>
      <c r="AS13">
        <f>-AS11</f>
        <v>-359.82042648709285</v>
      </c>
      <c r="AT13">
        <f t="shared" ref="AT13" si="38">-AT11</f>
        <v>-343.58398802843215</v>
      </c>
      <c r="AU13">
        <f>-AU11</f>
        <v>-327.34754956977145</v>
      </c>
    </row>
    <row r="14" spans="2:47" x14ac:dyDescent="0.2">
      <c r="B14" t="s">
        <v>211</v>
      </c>
      <c r="C14" t="s">
        <v>196</v>
      </c>
      <c r="D14" s="11">
        <f>D7</f>
        <v>0.105</v>
      </c>
    </row>
    <row r="15" spans="2:47" x14ac:dyDescent="0.2">
      <c r="B15" t="s">
        <v>212</v>
      </c>
      <c r="C15" t="s">
        <v>196</v>
      </c>
      <c r="D15" s="64">
        <f>D13+D14</f>
        <v>0.19839999999999999</v>
      </c>
      <c r="F15" t="s">
        <v>213</v>
      </c>
      <c r="G15" s="41">
        <f>IRR(G13:AU13)</f>
        <v>5.7367468837405289E-2</v>
      </c>
    </row>
    <row r="16" spans="2:47" x14ac:dyDescent="0.2">
      <c r="B16" t="s">
        <v>214</v>
      </c>
      <c r="C16" t="s">
        <v>196</v>
      </c>
      <c r="D16" s="12">
        <f>D15/4</f>
        <v>4.9599999999999998E-2</v>
      </c>
      <c r="F16" t="s">
        <v>215</v>
      </c>
      <c r="G16" s="12">
        <f>G15*4</f>
        <v>0.22946987534962116</v>
      </c>
    </row>
    <row r="17" spans="2:7" x14ac:dyDescent="0.2">
      <c r="B17" t="s">
        <v>216</v>
      </c>
      <c r="C17" t="s">
        <v>196</v>
      </c>
      <c r="D17" s="41">
        <f>D16/(1-D16)</f>
        <v>5.2188552188552187E-2</v>
      </c>
      <c r="F17" t="s">
        <v>217</v>
      </c>
      <c r="G17" s="12">
        <f>(1+G16/4)^(365/90)-1</f>
        <v>0.25386178024947625</v>
      </c>
    </row>
    <row r="18" spans="2:7" x14ac:dyDescent="0.2">
      <c r="B18" t="s">
        <v>218</v>
      </c>
      <c r="C18" t="s">
        <v>196</v>
      </c>
      <c r="D18" s="12">
        <f>D17*4</f>
        <v>0.20875420875420875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51E3-B286-1746-8CEE-D5CDCE3772EC}">
  <dimension ref="B5:BI24"/>
  <sheetViews>
    <sheetView workbookViewId="0">
      <selection activeCell="D15" sqref="D15"/>
    </sheetView>
  </sheetViews>
  <sheetFormatPr baseColWidth="10" defaultColWidth="11" defaultRowHeight="16" x14ac:dyDescent="0.2"/>
  <cols>
    <col min="2" max="2" width="40" bestFit="1" customWidth="1"/>
    <col min="6" max="6" width="27.5" bestFit="1" customWidth="1"/>
    <col min="39" max="39" width="13.33203125" customWidth="1"/>
  </cols>
  <sheetData>
    <row r="5" spans="2:61" x14ac:dyDescent="0.2">
      <c r="C5" t="s">
        <v>171</v>
      </c>
      <c r="D5" s="56">
        <f ca="1">TODAY()</f>
        <v>46193</v>
      </c>
      <c r="G5" s="56">
        <f ca="1">D5</f>
        <v>46193</v>
      </c>
      <c r="H5" s="56">
        <f ca="1">EDATE(G5,3)</f>
        <v>46285</v>
      </c>
      <c r="I5" s="56">
        <f t="shared" ref="I5:AU5" ca="1" si="0">EDATE(H5,3)</f>
        <v>46376</v>
      </c>
      <c r="J5" s="56">
        <f t="shared" ca="1" si="0"/>
        <v>46466</v>
      </c>
      <c r="K5" s="56">
        <f t="shared" ca="1" si="0"/>
        <v>46558</v>
      </c>
      <c r="L5" s="56">
        <f t="shared" ca="1" si="0"/>
        <v>46650</v>
      </c>
      <c r="M5" s="56">
        <f t="shared" ca="1" si="0"/>
        <v>46741</v>
      </c>
      <c r="N5" s="56">
        <f t="shared" ca="1" si="0"/>
        <v>46832</v>
      </c>
      <c r="O5" s="56">
        <f t="shared" ca="1" si="0"/>
        <v>46924</v>
      </c>
      <c r="P5" s="56">
        <f t="shared" ca="1" si="0"/>
        <v>47016</v>
      </c>
      <c r="Q5" s="56">
        <f t="shared" ca="1" si="0"/>
        <v>47107</v>
      </c>
      <c r="R5" s="56">
        <f t="shared" ca="1" si="0"/>
        <v>47197</v>
      </c>
      <c r="S5" s="56">
        <f t="shared" ca="1" si="0"/>
        <v>47289</v>
      </c>
      <c r="T5" s="56">
        <f t="shared" ca="1" si="0"/>
        <v>47381</v>
      </c>
      <c r="U5" s="56">
        <f t="shared" ca="1" si="0"/>
        <v>47472</v>
      </c>
      <c r="V5" s="56">
        <f t="shared" ca="1" si="0"/>
        <v>47562</v>
      </c>
      <c r="W5" s="56">
        <f t="shared" ca="1" si="0"/>
        <v>47654</v>
      </c>
      <c r="X5" s="56">
        <f t="shared" ca="1" si="0"/>
        <v>47746</v>
      </c>
      <c r="Y5" s="56">
        <f t="shared" ca="1" si="0"/>
        <v>47837</v>
      </c>
      <c r="Z5" s="56">
        <f t="shared" ca="1" si="0"/>
        <v>47927</v>
      </c>
      <c r="AA5" s="56">
        <f t="shared" ca="1" si="0"/>
        <v>48019</v>
      </c>
      <c r="AB5" s="56">
        <f t="shared" ca="1" si="0"/>
        <v>48111</v>
      </c>
      <c r="AC5" s="56">
        <f t="shared" ca="1" si="0"/>
        <v>48202</v>
      </c>
      <c r="AD5" s="56">
        <f t="shared" ca="1" si="0"/>
        <v>48293</v>
      </c>
      <c r="AE5" s="56">
        <f t="shared" ca="1" si="0"/>
        <v>48385</v>
      </c>
      <c r="AF5" s="56">
        <f t="shared" ca="1" si="0"/>
        <v>48477</v>
      </c>
      <c r="AG5" s="56">
        <f t="shared" ca="1" si="0"/>
        <v>48568</v>
      </c>
      <c r="AH5" s="56">
        <f t="shared" ca="1" si="0"/>
        <v>48658</v>
      </c>
      <c r="AI5" s="56">
        <f t="shared" ca="1" si="0"/>
        <v>48750</v>
      </c>
      <c r="AJ5" s="56">
        <f t="shared" ca="1" si="0"/>
        <v>48842</v>
      </c>
      <c r="AK5" s="56">
        <f t="shared" ca="1" si="0"/>
        <v>48933</v>
      </c>
      <c r="AL5" s="56">
        <f t="shared" ca="1" si="0"/>
        <v>49023</v>
      </c>
      <c r="AM5" s="56">
        <f t="shared" ca="1" si="0"/>
        <v>49115</v>
      </c>
      <c r="AN5" s="56">
        <f t="shared" ca="1" si="0"/>
        <v>49207</v>
      </c>
      <c r="AO5" s="56">
        <f t="shared" ca="1" si="0"/>
        <v>49298</v>
      </c>
      <c r="AP5" s="56">
        <f t="shared" ca="1" si="0"/>
        <v>49388</v>
      </c>
      <c r="AQ5" s="56">
        <f t="shared" ca="1" si="0"/>
        <v>49480</v>
      </c>
      <c r="AR5" s="56">
        <f t="shared" ca="1" si="0"/>
        <v>49572</v>
      </c>
      <c r="AS5" s="56">
        <f t="shared" ca="1" si="0"/>
        <v>49663</v>
      </c>
      <c r="AT5" s="56">
        <f t="shared" ca="1" si="0"/>
        <v>49754</v>
      </c>
      <c r="AU5" s="56">
        <f t="shared" ca="1" si="0"/>
        <v>49846</v>
      </c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</row>
    <row r="6" spans="2:61" x14ac:dyDescent="0.2">
      <c r="C6" t="s">
        <v>190</v>
      </c>
      <c r="D6" s="127">
        <v>10</v>
      </c>
      <c r="F6" t="s">
        <v>191</v>
      </c>
      <c r="G6">
        <v>0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  <c r="N6">
        <v>7</v>
      </c>
      <c r="O6">
        <v>8</v>
      </c>
      <c r="P6">
        <v>9</v>
      </c>
      <c r="Q6">
        <v>10</v>
      </c>
      <c r="R6">
        <v>11</v>
      </c>
      <c r="S6">
        <v>12</v>
      </c>
      <c r="T6">
        <v>13</v>
      </c>
      <c r="U6">
        <v>14</v>
      </c>
      <c r="V6">
        <v>15</v>
      </c>
      <c r="W6">
        <v>16</v>
      </c>
      <c r="X6">
        <v>17</v>
      </c>
      <c r="Y6">
        <v>18</v>
      </c>
      <c r="Z6">
        <v>19</v>
      </c>
      <c r="AA6">
        <v>20</v>
      </c>
      <c r="AB6">
        <v>21</v>
      </c>
      <c r="AC6">
        <v>22</v>
      </c>
      <c r="AD6">
        <v>23</v>
      </c>
      <c r="AE6">
        <v>24</v>
      </c>
      <c r="AF6">
        <v>25</v>
      </c>
      <c r="AG6">
        <v>26</v>
      </c>
      <c r="AH6">
        <v>27</v>
      </c>
      <c r="AI6">
        <v>28</v>
      </c>
      <c r="AJ6">
        <v>29</v>
      </c>
      <c r="AK6">
        <v>30</v>
      </c>
      <c r="AL6">
        <v>31</v>
      </c>
      <c r="AM6">
        <v>32</v>
      </c>
      <c r="AN6">
        <v>33</v>
      </c>
      <c r="AO6">
        <v>34</v>
      </c>
      <c r="AP6">
        <v>35</v>
      </c>
      <c r="AQ6">
        <v>36</v>
      </c>
      <c r="AR6">
        <v>37</v>
      </c>
      <c r="AS6">
        <v>38</v>
      </c>
      <c r="AT6">
        <v>39</v>
      </c>
      <c r="AU6">
        <v>40</v>
      </c>
    </row>
    <row r="7" spans="2:61" x14ac:dyDescent="0.2">
      <c r="B7" t="s">
        <v>192</v>
      </c>
      <c r="C7" t="s">
        <v>193</v>
      </c>
      <c r="D7" s="21">
        <f>Datos!C10*Datos!C35</f>
        <v>11200</v>
      </c>
      <c r="F7" t="s">
        <v>194</v>
      </c>
      <c r="H7">
        <f ca="1">H5-G5</f>
        <v>92</v>
      </c>
      <c r="I7">
        <f t="shared" ref="I7:AU7" ca="1" si="1">I5-H5</f>
        <v>91</v>
      </c>
      <c r="J7">
        <f t="shared" ca="1" si="1"/>
        <v>90</v>
      </c>
      <c r="K7">
        <f t="shared" ca="1" si="1"/>
        <v>92</v>
      </c>
      <c r="L7">
        <f t="shared" ca="1" si="1"/>
        <v>92</v>
      </c>
      <c r="M7">
        <f t="shared" ca="1" si="1"/>
        <v>91</v>
      </c>
      <c r="N7">
        <f t="shared" ca="1" si="1"/>
        <v>91</v>
      </c>
      <c r="O7">
        <f t="shared" ca="1" si="1"/>
        <v>92</v>
      </c>
      <c r="P7">
        <f t="shared" ca="1" si="1"/>
        <v>92</v>
      </c>
      <c r="Q7">
        <f t="shared" ca="1" si="1"/>
        <v>91</v>
      </c>
      <c r="R7">
        <f t="shared" ca="1" si="1"/>
        <v>90</v>
      </c>
      <c r="S7">
        <f t="shared" ca="1" si="1"/>
        <v>92</v>
      </c>
      <c r="T7">
        <f t="shared" ca="1" si="1"/>
        <v>92</v>
      </c>
      <c r="U7">
        <f t="shared" ca="1" si="1"/>
        <v>91</v>
      </c>
      <c r="V7">
        <f t="shared" ca="1" si="1"/>
        <v>90</v>
      </c>
      <c r="W7">
        <f t="shared" ca="1" si="1"/>
        <v>92</v>
      </c>
      <c r="X7">
        <f t="shared" ca="1" si="1"/>
        <v>92</v>
      </c>
      <c r="Y7">
        <f t="shared" ca="1" si="1"/>
        <v>91</v>
      </c>
      <c r="Z7">
        <f t="shared" ca="1" si="1"/>
        <v>90</v>
      </c>
      <c r="AA7">
        <f t="shared" ca="1" si="1"/>
        <v>92</v>
      </c>
      <c r="AB7">
        <f t="shared" ca="1" si="1"/>
        <v>92</v>
      </c>
      <c r="AC7">
        <f t="shared" ca="1" si="1"/>
        <v>91</v>
      </c>
      <c r="AD7">
        <f t="shared" ca="1" si="1"/>
        <v>91</v>
      </c>
      <c r="AE7">
        <f t="shared" ca="1" si="1"/>
        <v>92</v>
      </c>
      <c r="AF7">
        <f t="shared" ca="1" si="1"/>
        <v>92</v>
      </c>
      <c r="AG7">
        <f t="shared" ca="1" si="1"/>
        <v>91</v>
      </c>
      <c r="AH7">
        <f t="shared" ca="1" si="1"/>
        <v>90</v>
      </c>
      <c r="AI7">
        <f t="shared" ca="1" si="1"/>
        <v>92</v>
      </c>
      <c r="AJ7">
        <f t="shared" ca="1" si="1"/>
        <v>92</v>
      </c>
      <c r="AK7">
        <f t="shared" ca="1" si="1"/>
        <v>91</v>
      </c>
      <c r="AL7">
        <f t="shared" ca="1" si="1"/>
        <v>90</v>
      </c>
      <c r="AM7">
        <f t="shared" ca="1" si="1"/>
        <v>92</v>
      </c>
      <c r="AN7">
        <f t="shared" ca="1" si="1"/>
        <v>92</v>
      </c>
      <c r="AO7">
        <f t="shared" ca="1" si="1"/>
        <v>91</v>
      </c>
      <c r="AP7">
        <f t="shared" ca="1" si="1"/>
        <v>90</v>
      </c>
      <c r="AQ7">
        <f t="shared" ca="1" si="1"/>
        <v>92</v>
      </c>
      <c r="AR7">
        <f t="shared" ca="1" si="1"/>
        <v>92</v>
      </c>
      <c r="AS7">
        <f t="shared" ca="1" si="1"/>
        <v>91</v>
      </c>
      <c r="AT7">
        <f t="shared" ca="1" si="1"/>
        <v>91</v>
      </c>
      <c r="AU7">
        <f t="shared" ca="1" si="1"/>
        <v>92</v>
      </c>
    </row>
    <row r="8" spans="2:61" x14ac:dyDescent="0.2">
      <c r="B8" t="s">
        <v>195</v>
      </c>
      <c r="C8" t="s">
        <v>196</v>
      </c>
      <c r="D8" s="128" t="s">
        <v>126</v>
      </c>
      <c r="F8" t="s">
        <v>198</v>
      </c>
      <c r="H8" s="41">
        <f ca="1">$D$17*H7/360</f>
        <v>5.6061222222222221E-2</v>
      </c>
      <c r="I8" s="41">
        <f t="shared" ref="I8:AU8" ca="1" si="2">$D$17*I7/360</f>
        <v>5.5451861111111111E-2</v>
      </c>
      <c r="J8" s="41">
        <f t="shared" ca="1" si="2"/>
        <v>5.4842500000000002E-2</v>
      </c>
      <c r="K8" s="41">
        <f t="shared" ca="1" si="2"/>
        <v>5.6061222222222221E-2</v>
      </c>
      <c r="L8" s="41">
        <f t="shared" ca="1" si="2"/>
        <v>5.6061222222222221E-2</v>
      </c>
      <c r="M8" s="41">
        <f t="shared" ca="1" si="2"/>
        <v>5.5451861111111111E-2</v>
      </c>
      <c r="N8" s="41">
        <f t="shared" ca="1" si="2"/>
        <v>5.5451861111111111E-2</v>
      </c>
      <c r="O8" s="41">
        <f t="shared" ca="1" si="2"/>
        <v>5.6061222222222221E-2</v>
      </c>
      <c r="P8" s="41">
        <f t="shared" ca="1" si="2"/>
        <v>5.6061222222222221E-2</v>
      </c>
      <c r="Q8" s="41">
        <f t="shared" ca="1" si="2"/>
        <v>5.5451861111111111E-2</v>
      </c>
      <c r="R8" s="41">
        <f t="shared" ca="1" si="2"/>
        <v>5.4842500000000002E-2</v>
      </c>
      <c r="S8" s="41">
        <f t="shared" ca="1" si="2"/>
        <v>5.6061222222222221E-2</v>
      </c>
      <c r="T8" s="41">
        <f t="shared" ca="1" si="2"/>
        <v>5.6061222222222221E-2</v>
      </c>
      <c r="U8" s="41">
        <f t="shared" ca="1" si="2"/>
        <v>5.5451861111111111E-2</v>
      </c>
      <c r="V8" s="41">
        <f t="shared" ca="1" si="2"/>
        <v>5.4842500000000002E-2</v>
      </c>
      <c r="W8" s="41">
        <f t="shared" ca="1" si="2"/>
        <v>5.6061222222222221E-2</v>
      </c>
      <c r="X8" s="41">
        <f t="shared" ca="1" si="2"/>
        <v>5.6061222222222221E-2</v>
      </c>
      <c r="Y8" s="41">
        <f t="shared" ca="1" si="2"/>
        <v>5.5451861111111111E-2</v>
      </c>
      <c r="Z8" s="41">
        <f t="shared" ca="1" si="2"/>
        <v>5.4842500000000002E-2</v>
      </c>
      <c r="AA8" s="41">
        <f t="shared" ca="1" si="2"/>
        <v>5.6061222222222221E-2</v>
      </c>
      <c r="AB8" s="41">
        <f t="shared" ca="1" si="2"/>
        <v>5.6061222222222221E-2</v>
      </c>
      <c r="AC8" s="41">
        <f t="shared" ca="1" si="2"/>
        <v>5.5451861111111111E-2</v>
      </c>
      <c r="AD8" s="41">
        <f t="shared" ca="1" si="2"/>
        <v>5.5451861111111111E-2</v>
      </c>
      <c r="AE8" s="41">
        <f t="shared" ca="1" si="2"/>
        <v>5.6061222222222221E-2</v>
      </c>
      <c r="AF8" s="41">
        <f t="shared" ca="1" si="2"/>
        <v>5.6061222222222221E-2</v>
      </c>
      <c r="AG8" s="41">
        <f t="shared" ca="1" si="2"/>
        <v>5.5451861111111111E-2</v>
      </c>
      <c r="AH8" s="41">
        <f t="shared" ca="1" si="2"/>
        <v>5.4842500000000002E-2</v>
      </c>
      <c r="AI8" s="41">
        <f t="shared" ca="1" si="2"/>
        <v>5.6061222222222221E-2</v>
      </c>
      <c r="AJ8" s="41">
        <f t="shared" ca="1" si="2"/>
        <v>5.6061222222222221E-2</v>
      </c>
      <c r="AK8" s="41">
        <f t="shared" ca="1" si="2"/>
        <v>5.5451861111111111E-2</v>
      </c>
      <c r="AL8" s="41">
        <f t="shared" ca="1" si="2"/>
        <v>5.4842500000000002E-2</v>
      </c>
      <c r="AM8" s="41">
        <f t="shared" ca="1" si="2"/>
        <v>5.6061222222222221E-2</v>
      </c>
      <c r="AN8" s="41">
        <f t="shared" ca="1" si="2"/>
        <v>5.6061222222222221E-2</v>
      </c>
      <c r="AO8" s="41">
        <f t="shared" ca="1" si="2"/>
        <v>5.5451861111111111E-2</v>
      </c>
      <c r="AP8" s="41">
        <f t="shared" ca="1" si="2"/>
        <v>5.4842500000000002E-2</v>
      </c>
      <c r="AQ8" s="41">
        <f t="shared" ca="1" si="2"/>
        <v>5.6061222222222221E-2</v>
      </c>
      <c r="AR8" s="41">
        <f t="shared" ca="1" si="2"/>
        <v>5.6061222222222221E-2</v>
      </c>
      <c r="AS8" s="41">
        <f t="shared" ca="1" si="2"/>
        <v>5.5451861111111111E-2</v>
      </c>
      <c r="AT8" s="41">
        <f t="shared" ca="1" si="2"/>
        <v>5.5451861111111111E-2</v>
      </c>
      <c r="AU8" s="41">
        <f t="shared" ca="1" si="2"/>
        <v>5.6061222222222221E-2</v>
      </c>
      <c r="AV8" s="41"/>
      <c r="AW8" s="41"/>
      <c r="AX8" s="41"/>
      <c r="AY8" s="41"/>
      <c r="AZ8" s="41"/>
      <c r="BA8" s="41"/>
      <c r="BB8" s="41"/>
      <c r="BD8" s="41"/>
      <c r="BE8" s="41"/>
      <c r="BF8" s="41"/>
      <c r="BH8" s="41"/>
      <c r="BI8" s="41"/>
    </row>
    <row r="9" spans="2:61" x14ac:dyDescent="0.2">
      <c r="B9" t="s">
        <v>219</v>
      </c>
      <c r="C9" t="s">
        <v>196</v>
      </c>
      <c r="D9" s="11">
        <v>0.105</v>
      </c>
      <c r="F9" t="s">
        <v>200</v>
      </c>
      <c r="G9">
        <f>D7</f>
        <v>11200</v>
      </c>
      <c r="H9">
        <f>G9-H12</f>
        <v>11200</v>
      </c>
      <c r="I9">
        <f t="shared" ref="I9:AU9" si="3">H9-I12</f>
        <v>11200</v>
      </c>
      <c r="J9">
        <f t="shared" si="3"/>
        <v>11200</v>
      </c>
      <c r="K9">
        <f t="shared" si="3"/>
        <v>11200</v>
      </c>
      <c r="L9">
        <f t="shared" si="3"/>
        <v>11200</v>
      </c>
      <c r="M9">
        <f t="shared" si="3"/>
        <v>11200</v>
      </c>
      <c r="N9">
        <f t="shared" si="3"/>
        <v>11200</v>
      </c>
      <c r="O9">
        <f t="shared" si="3"/>
        <v>11200</v>
      </c>
      <c r="P9">
        <f t="shared" si="3"/>
        <v>10850</v>
      </c>
      <c r="Q9">
        <f t="shared" si="3"/>
        <v>10500</v>
      </c>
      <c r="R9">
        <f t="shared" si="3"/>
        <v>10150</v>
      </c>
      <c r="S9">
        <f t="shared" si="3"/>
        <v>9800</v>
      </c>
      <c r="T9">
        <f t="shared" si="3"/>
        <v>9450</v>
      </c>
      <c r="U9">
        <f t="shared" si="3"/>
        <v>9100</v>
      </c>
      <c r="V9">
        <f t="shared" si="3"/>
        <v>8750</v>
      </c>
      <c r="W9">
        <f t="shared" si="3"/>
        <v>8400</v>
      </c>
      <c r="X9">
        <f t="shared" si="3"/>
        <v>8050</v>
      </c>
      <c r="Y9">
        <f t="shared" si="3"/>
        <v>7700</v>
      </c>
      <c r="Z9">
        <f t="shared" si="3"/>
        <v>7350</v>
      </c>
      <c r="AA9">
        <f t="shared" si="3"/>
        <v>7000</v>
      </c>
      <c r="AB9">
        <f t="shared" si="3"/>
        <v>6650</v>
      </c>
      <c r="AC9">
        <f t="shared" si="3"/>
        <v>6300</v>
      </c>
      <c r="AD9">
        <f t="shared" si="3"/>
        <v>5950</v>
      </c>
      <c r="AE9">
        <f t="shared" si="3"/>
        <v>5600</v>
      </c>
      <c r="AF9">
        <f t="shared" si="3"/>
        <v>5250</v>
      </c>
      <c r="AG9">
        <f t="shared" si="3"/>
        <v>4900</v>
      </c>
      <c r="AH9">
        <f t="shared" si="3"/>
        <v>4550</v>
      </c>
      <c r="AI9">
        <f t="shared" si="3"/>
        <v>4200</v>
      </c>
      <c r="AJ9">
        <f t="shared" si="3"/>
        <v>3850</v>
      </c>
      <c r="AK9">
        <f t="shared" si="3"/>
        <v>3500</v>
      </c>
      <c r="AL9">
        <f t="shared" si="3"/>
        <v>3150</v>
      </c>
      <c r="AM9">
        <f t="shared" si="3"/>
        <v>2800</v>
      </c>
      <c r="AN9">
        <f t="shared" si="3"/>
        <v>2450</v>
      </c>
      <c r="AO9">
        <f t="shared" si="3"/>
        <v>2100</v>
      </c>
      <c r="AP9">
        <f t="shared" si="3"/>
        <v>1750</v>
      </c>
      <c r="AQ9">
        <f t="shared" si="3"/>
        <v>1400</v>
      </c>
      <c r="AR9">
        <f t="shared" si="3"/>
        <v>1050</v>
      </c>
      <c r="AS9">
        <f t="shared" si="3"/>
        <v>700</v>
      </c>
      <c r="AT9">
        <f t="shared" si="3"/>
        <v>350</v>
      </c>
      <c r="AU9">
        <f t="shared" si="3"/>
        <v>0</v>
      </c>
    </row>
    <row r="10" spans="2:61" x14ac:dyDescent="0.2">
      <c r="B10" t="s">
        <v>201</v>
      </c>
      <c r="C10" t="s">
        <v>202</v>
      </c>
      <c r="D10">
        <v>4</v>
      </c>
      <c r="F10" t="s">
        <v>203</v>
      </c>
      <c r="G10">
        <f>D7</f>
        <v>11200</v>
      </c>
    </row>
    <row r="11" spans="2:61" x14ac:dyDescent="0.2">
      <c r="B11" t="s">
        <v>204</v>
      </c>
      <c r="C11" t="s">
        <v>163</v>
      </c>
      <c r="D11" s="21">
        <f>Datos!C10*Datos!C35</f>
        <v>11200</v>
      </c>
      <c r="F11" t="s">
        <v>154</v>
      </c>
      <c r="H11">
        <f ca="1">G9*H8</f>
        <v>627.88568888888892</v>
      </c>
      <c r="I11">
        <f t="shared" ref="I11:AU11" ca="1" si="4">H9*I8</f>
        <v>621.06084444444446</v>
      </c>
      <c r="J11">
        <f t="shared" ca="1" si="4"/>
        <v>614.23599999999999</v>
      </c>
      <c r="K11">
        <f t="shared" ca="1" si="4"/>
        <v>627.88568888888892</v>
      </c>
      <c r="L11">
        <f t="shared" ca="1" si="4"/>
        <v>627.88568888888892</v>
      </c>
      <c r="M11">
        <f t="shared" ca="1" si="4"/>
        <v>621.06084444444446</v>
      </c>
      <c r="N11">
        <f t="shared" ca="1" si="4"/>
        <v>621.06084444444446</v>
      </c>
      <c r="O11">
        <f t="shared" ca="1" si="4"/>
        <v>627.88568888888892</v>
      </c>
      <c r="P11">
        <f t="shared" ca="1" si="4"/>
        <v>627.88568888888892</v>
      </c>
      <c r="Q11">
        <f t="shared" ca="1" si="4"/>
        <v>601.65269305555557</v>
      </c>
      <c r="R11">
        <f t="shared" ca="1" si="4"/>
        <v>575.84625000000005</v>
      </c>
      <c r="S11">
        <f t="shared" ca="1" si="4"/>
        <v>569.02140555555559</v>
      </c>
      <c r="T11">
        <f t="shared" ca="1" si="4"/>
        <v>549.39997777777774</v>
      </c>
      <c r="U11">
        <f t="shared" ca="1" si="4"/>
        <v>524.02008750000005</v>
      </c>
      <c r="V11">
        <f t="shared" ca="1" si="4"/>
        <v>499.06675000000001</v>
      </c>
      <c r="W11">
        <f t="shared" ca="1" si="4"/>
        <v>490.5356944444444</v>
      </c>
      <c r="X11">
        <f t="shared" ca="1" si="4"/>
        <v>470.91426666666666</v>
      </c>
      <c r="Y11">
        <f t="shared" ca="1" si="4"/>
        <v>446.38748194444446</v>
      </c>
      <c r="Z11">
        <f t="shared" ca="1" si="4"/>
        <v>422.28725000000003</v>
      </c>
      <c r="AA11">
        <f t="shared" ca="1" si="4"/>
        <v>412.04998333333333</v>
      </c>
      <c r="AB11">
        <f t="shared" ca="1" si="4"/>
        <v>392.42855555555553</v>
      </c>
      <c r="AC11">
        <f t="shared" ca="1" si="4"/>
        <v>368.75487638888887</v>
      </c>
      <c r="AD11">
        <f t="shared" ca="1" si="4"/>
        <v>349.34672499999999</v>
      </c>
      <c r="AE11">
        <f t="shared" ca="1" si="4"/>
        <v>333.5642722222222</v>
      </c>
      <c r="AF11">
        <f t="shared" ca="1" si="4"/>
        <v>313.94284444444446</v>
      </c>
      <c r="AG11">
        <f t="shared" ca="1" si="4"/>
        <v>291.12227083333335</v>
      </c>
      <c r="AH11">
        <f t="shared" ca="1" si="4"/>
        <v>268.72825</v>
      </c>
      <c r="AI11">
        <f t="shared" ca="1" si="4"/>
        <v>255.0785611111111</v>
      </c>
      <c r="AJ11">
        <f t="shared" ca="1" si="4"/>
        <v>235.45713333333333</v>
      </c>
      <c r="AK11">
        <f t="shared" ca="1" si="4"/>
        <v>213.48966527777779</v>
      </c>
      <c r="AL11">
        <f t="shared" ca="1" si="4"/>
        <v>191.94875000000002</v>
      </c>
      <c r="AM11">
        <f t="shared" ca="1" si="4"/>
        <v>176.59285</v>
      </c>
      <c r="AN11">
        <f t="shared" ca="1" si="4"/>
        <v>156.97142222222223</v>
      </c>
      <c r="AO11">
        <f t="shared" ca="1" si="4"/>
        <v>135.85705972222223</v>
      </c>
      <c r="AP11">
        <f t="shared" ca="1" si="4"/>
        <v>115.16925000000001</v>
      </c>
      <c r="AQ11">
        <f t="shared" ca="1" si="4"/>
        <v>98.107138888888883</v>
      </c>
      <c r="AR11">
        <f t="shared" ca="1" si="4"/>
        <v>78.485711111111115</v>
      </c>
      <c r="AS11">
        <f t="shared" ca="1" si="4"/>
        <v>58.224454166666668</v>
      </c>
      <c r="AT11">
        <f t="shared" ca="1" si="4"/>
        <v>38.816302777777778</v>
      </c>
      <c r="AU11">
        <f t="shared" ca="1" si="4"/>
        <v>19.621427777777779</v>
      </c>
    </row>
    <row r="12" spans="2:61" x14ac:dyDescent="0.2">
      <c r="B12" t="s">
        <v>205</v>
      </c>
      <c r="C12" t="s">
        <v>206</v>
      </c>
      <c r="D12">
        <v>2</v>
      </c>
      <c r="F12" t="s">
        <v>207</v>
      </c>
      <c r="H12">
        <f>0</f>
        <v>0</v>
      </c>
      <c r="I12">
        <f>0</f>
        <v>0</v>
      </c>
      <c r="J12">
        <f>0</f>
        <v>0</v>
      </c>
      <c r="K12">
        <f>0</f>
        <v>0</v>
      </c>
      <c r="L12">
        <f>$H$18/8</f>
        <v>0</v>
      </c>
      <c r="M12">
        <f t="shared" ref="M12:O12" si="5">$H$18/8</f>
        <v>0</v>
      </c>
      <c r="N12">
        <f t="shared" si="5"/>
        <v>0</v>
      </c>
      <c r="O12">
        <f t="shared" si="5"/>
        <v>0</v>
      </c>
      <c r="P12">
        <f>$G$9/32</f>
        <v>350</v>
      </c>
      <c r="Q12">
        <f t="shared" ref="Q12:AU12" si="6">$G$9/32</f>
        <v>350</v>
      </c>
      <c r="R12">
        <f t="shared" si="6"/>
        <v>350</v>
      </c>
      <c r="S12">
        <f t="shared" si="6"/>
        <v>350</v>
      </c>
      <c r="T12">
        <f t="shared" si="6"/>
        <v>350</v>
      </c>
      <c r="U12">
        <f t="shared" si="6"/>
        <v>350</v>
      </c>
      <c r="V12">
        <f t="shared" si="6"/>
        <v>350</v>
      </c>
      <c r="W12">
        <f t="shared" si="6"/>
        <v>350</v>
      </c>
      <c r="X12">
        <f t="shared" si="6"/>
        <v>350</v>
      </c>
      <c r="Y12">
        <f t="shared" si="6"/>
        <v>350</v>
      </c>
      <c r="Z12">
        <f t="shared" si="6"/>
        <v>350</v>
      </c>
      <c r="AA12">
        <f t="shared" si="6"/>
        <v>350</v>
      </c>
      <c r="AB12">
        <f t="shared" si="6"/>
        <v>350</v>
      </c>
      <c r="AC12">
        <f t="shared" si="6"/>
        <v>350</v>
      </c>
      <c r="AD12">
        <f t="shared" si="6"/>
        <v>350</v>
      </c>
      <c r="AE12">
        <f t="shared" si="6"/>
        <v>350</v>
      </c>
      <c r="AF12">
        <f t="shared" si="6"/>
        <v>350</v>
      </c>
      <c r="AG12">
        <f t="shared" si="6"/>
        <v>350</v>
      </c>
      <c r="AH12">
        <f t="shared" si="6"/>
        <v>350</v>
      </c>
      <c r="AI12">
        <f t="shared" si="6"/>
        <v>350</v>
      </c>
      <c r="AJ12">
        <f t="shared" si="6"/>
        <v>350</v>
      </c>
      <c r="AK12">
        <f t="shared" si="6"/>
        <v>350</v>
      </c>
      <c r="AL12">
        <f t="shared" si="6"/>
        <v>350</v>
      </c>
      <c r="AM12">
        <f t="shared" si="6"/>
        <v>350</v>
      </c>
      <c r="AN12">
        <f t="shared" si="6"/>
        <v>350</v>
      </c>
      <c r="AO12">
        <f t="shared" si="6"/>
        <v>350</v>
      </c>
      <c r="AP12">
        <f t="shared" si="6"/>
        <v>350</v>
      </c>
      <c r="AQ12">
        <f t="shared" si="6"/>
        <v>350</v>
      </c>
      <c r="AR12">
        <f t="shared" si="6"/>
        <v>350</v>
      </c>
      <c r="AS12">
        <f t="shared" si="6"/>
        <v>350</v>
      </c>
      <c r="AT12">
        <f t="shared" si="6"/>
        <v>350</v>
      </c>
      <c r="AU12">
        <f t="shared" si="6"/>
        <v>350</v>
      </c>
    </row>
    <row r="13" spans="2:61" x14ac:dyDescent="0.2">
      <c r="B13" t="s">
        <v>44</v>
      </c>
      <c r="C13" t="s">
        <v>196</v>
      </c>
      <c r="D13" s="11">
        <v>5.5E-2</v>
      </c>
      <c r="F13" t="s">
        <v>208</v>
      </c>
      <c r="H13">
        <f ca="1">H11+H12</f>
        <v>627.88568888888892</v>
      </c>
      <c r="I13">
        <f t="shared" ref="I13:AU13" ca="1" si="7">I11+I12</f>
        <v>621.06084444444446</v>
      </c>
      <c r="J13">
        <f t="shared" ca="1" si="7"/>
        <v>614.23599999999999</v>
      </c>
      <c r="K13">
        <f t="shared" ca="1" si="7"/>
        <v>627.88568888888892</v>
      </c>
      <c r="L13">
        <f t="shared" ca="1" si="7"/>
        <v>627.88568888888892</v>
      </c>
      <c r="M13">
        <f t="shared" ca="1" si="7"/>
        <v>621.06084444444446</v>
      </c>
      <c r="N13">
        <f t="shared" ca="1" si="7"/>
        <v>621.06084444444446</v>
      </c>
      <c r="O13">
        <f t="shared" ca="1" si="7"/>
        <v>627.88568888888892</v>
      </c>
      <c r="P13">
        <f t="shared" ca="1" si="7"/>
        <v>977.88568888888892</v>
      </c>
      <c r="Q13">
        <f t="shared" ca="1" si="7"/>
        <v>951.65269305555557</v>
      </c>
      <c r="R13">
        <f t="shared" ca="1" si="7"/>
        <v>925.84625000000005</v>
      </c>
      <c r="S13">
        <f t="shared" ca="1" si="7"/>
        <v>919.02140555555559</v>
      </c>
      <c r="T13">
        <f t="shared" ca="1" si="7"/>
        <v>899.39997777777774</v>
      </c>
      <c r="U13">
        <f t="shared" ca="1" si="7"/>
        <v>874.02008750000005</v>
      </c>
      <c r="V13">
        <f t="shared" ca="1" si="7"/>
        <v>849.06674999999996</v>
      </c>
      <c r="W13">
        <f t="shared" ca="1" si="7"/>
        <v>840.5356944444444</v>
      </c>
      <c r="X13">
        <f t="shared" ca="1" si="7"/>
        <v>820.91426666666666</v>
      </c>
      <c r="Y13">
        <f t="shared" ca="1" si="7"/>
        <v>796.38748194444452</v>
      </c>
      <c r="Z13">
        <f t="shared" ca="1" si="7"/>
        <v>772.28725000000009</v>
      </c>
      <c r="AA13">
        <f t="shared" ca="1" si="7"/>
        <v>762.04998333333333</v>
      </c>
      <c r="AB13">
        <f t="shared" ca="1" si="7"/>
        <v>742.42855555555548</v>
      </c>
      <c r="AC13">
        <f t="shared" ca="1" si="7"/>
        <v>718.75487638888887</v>
      </c>
      <c r="AD13">
        <f t="shared" ca="1" si="7"/>
        <v>699.34672499999999</v>
      </c>
      <c r="AE13">
        <f t="shared" ca="1" si="7"/>
        <v>683.56427222222214</v>
      </c>
      <c r="AF13">
        <f t="shared" ca="1" si="7"/>
        <v>663.94284444444452</v>
      </c>
      <c r="AG13">
        <f t="shared" ca="1" si="7"/>
        <v>641.12227083333335</v>
      </c>
      <c r="AH13">
        <f t="shared" ca="1" si="7"/>
        <v>618.72825</v>
      </c>
      <c r="AI13">
        <f t="shared" ca="1" si="7"/>
        <v>605.07856111111107</v>
      </c>
      <c r="AJ13">
        <f t="shared" ca="1" si="7"/>
        <v>585.45713333333333</v>
      </c>
      <c r="AK13">
        <f t="shared" ca="1" si="7"/>
        <v>563.48966527777782</v>
      </c>
      <c r="AL13">
        <f t="shared" ca="1" si="7"/>
        <v>541.94875000000002</v>
      </c>
      <c r="AM13">
        <f t="shared" ca="1" si="7"/>
        <v>526.59285</v>
      </c>
      <c r="AN13">
        <f t="shared" ca="1" si="7"/>
        <v>506.97142222222226</v>
      </c>
      <c r="AO13">
        <f t="shared" ca="1" si="7"/>
        <v>485.85705972222223</v>
      </c>
      <c r="AP13">
        <f t="shared" ca="1" si="7"/>
        <v>465.16925000000003</v>
      </c>
      <c r="AQ13">
        <f t="shared" ca="1" si="7"/>
        <v>448.10713888888887</v>
      </c>
      <c r="AR13">
        <f t="shared" ca="1" si="7"/>
        <v>428.48571111111113</v>
      </c>
      <c r="AS13">
        <f t="shared" ca="1" si="7"/>
        <v>408.22445416666665</v>
      </c>
      <c r="AT13">
        <f t="shared" ca="1" si="7"/>
        <v>388.81630277777776</v>
      </c>
      <c r="AU13">
        <f t="shared" ca="1" si="7"/>
        <v>369.6214277777778</v>
      </c>
    </row>
    <row r="14" spans="2:61" x14ac:dyDescent="0.2">
      <c r="F14" t="s">
        <v>44</v>
      </c>
      <c r="G14">
        <f>G10*D13</f>
        <v>616</v>
      </c>
    </row>
    <row r="15" spans="2:61" x14ac:dyDescent="0.2">
      <c r="B15" t="s">
        <v>220</v>
      </c>
      <c r="C15" t="s">
        <v>196</v>
      </c>
      <c r="D15" s="12">
        <v>0.11437</v>
      </c>
      <c r="F15" t="s">
        <v>210</v>
      </c>
      <c r="G15">
        <f>G9-G14</f>
        <v>10584</v>
      </c>
      <c r="H15">
        <f ca="1">-H13</f>
        <v>-627.88568888888892</v>
      </c>
      <c r="I15">
        <f t="shared" ref="I15:AU15" ca="1" si="8">-I13</f>
        <v>-621.06084444444446</v>
      </c>
      <c r="J15">
        <f ca="1">-J13</f>
        <v>-614.23599999999999</v>
      </c>
      <c r="K15">
        <f t="shared" ca="1" si="8"/>
        <v>-627.88568888888892</v>
      </c>
      <c r="L15">
        <f t="shared" ca="1" si="8"/>
        <v>-627.88568888888892</v>
      </c>
      <c r="M15">
        <f t="shared" ca="1" si="8"/>
        <v>-621.06084444444446</v>
      </c>
      <c r="N15">
        <f t="shared" ca="1" si="8"/>
        <v>-621.06084444444446</v>
      </c>
      <c r="O15">
        <f t="shared" ca="1" si="8"/>
        <v>-627.88568888888892</v>
      </c>
      <c r="P15">
        <f t="shared" ca="1" si="8"/>
        <v>-977.88568888888892</v>
      </c>
      <c r="Q15">
        <f t="shared" ca="1" si="8"/>
        <v>-951.65269305555557</v>
      </c>
      <c r="R15">
        <f t="shared" ca="1" si="8"/>
        <v>-925.84625000000005</v>
      </c>
      <c r="S15">
        <f t="shared" ca="1" si="8"/>
        <v>-919.02140555555559</v>
      </c>
      <c r="T15">
        <f t="shared" ca="1" si="8"/>
        <v>-899.39997777777774</v>
      </c>
      <c r="U15">
        <f t="shared" ca="1" si="8"/>
        <v>-874.02008750000005</v>
      </c>
      <c r="V15">
        <f t="shared" ca="1" si="8"/>
        <v>-849.06674999999996</v>
      </c>
      <c r="W15">
        <f t="shared" ca="1" si="8"/>
        <v>-840.5356944444444</v>
      </c>
      <c r="X15">
        <f t="shared" ca="1" si="8"/>
        <v>-820.91426666666666</v>
      </c>
      <c r="Y15">
        <f t="shared" ca="1" si="8"/>
        <v>-796.38748194444452</v>
      </c>
      <c r="Z15">
        <f t="shared" ca="1" si="8"/>
        <v>-772.28725000000009</v>
      </c>
      <c r="AA15">
        <f t="shared" ca="1" si="8"/>
        <v>-762.04998333333333</v>
      </c>
      <c r="AB15">
        <f t="shared" ca="1" si="8"/>
        <v>-742.42855555555548</v>
      </c>
      <c r="AC15">
        <f t="shared" ca="1" si="8"/>
        <v>-718.75487638888887</v>
      </c>
      <c r="AD15">
        <f t="shared" ca="1" si="8"/>
        <v>-699.34672499999999</v>
      </c>
      <c r="AE15">
        <f t="shared" ca="1" si="8"/>
        <v>-683.56427222222214</v>
      </c>
      <c r="AF15">
        <f t="shared" ca="1" si="8"/>
        <v>-663.94284444444452</v>
      </c>
      <c r="AG15">
        <f t="shared" ca="1" si="8"/>
        <v>-641.12227083333335</v>
      </c>
      <c r="AH15">
        <f t="shared" ca="1" si="8"/>
        <v>-618.72825</v>
      </c>
      <c r="AI15">
        <f t="shared" ca="1" si="8"/>
        <v>-605.07856111111107</v>
      </c>
      <c r="AJ15">
        <f t="shared" ca="1" si="8"/>
        <v>-585.45713333333333</v>
      </c>
      <c r="AK15">
        <f t="shared" ca="1" si="8"/>
        <v>-563.48966527777782</v>
      </c>
      <c r="AL15">
        <f t="shared" ca="1" si="8"/>
        <v>-541.94875000000002</v>
      </c>
      <c r="AM15">
        <f t="shared" ca="1" si="8"/>
        <v>-526.59285</v>
      </c>
      <c r="AN15">
        <f t="shared" ca="1" si="8"/>
        <v>-506.97142222222226</v>
      </c>
      <c r="AO15">
        <f t="shared" ca="1" si="8"/>
        <v>-485.85705972222223</v>
      </c>
      <c r="AP15">
        <f t="shared" ca="1" si="8"/>
        <v>-465.16925000000003</v>
      </c>
      <c r="AQ15">
        <f t="shared" ca="1" si="8"/>
        <v>-448.10713888888887</v>
      </c>
      <c r="AR15">
        <f t="shared" ca="1" si="8"/>
        <v>-428.48571111111113</v>
      </c>
      <c r="AS15">
        <f t="shared" ca="1" si="8"/>
        <v>-408.22445416666665</v>
      </c>
      <c r="AT15">
        <f t="shared" ca="1" si="8"/>
        <v>-388.81630277777776</v>
      </c>
      <c r="AU15">
        <f t="shared" ca="1" si="8"/>
        <v>-369.6214277777778</v>
      </c>
    </row>
    <row r="16" spans="2:61" x14ac:dyDescent="0.2">
      <c r="B16" t="s">
        <v>219</v>
      </c>
      <c r="C16" t="s">
        <v>196</v>
      </c>
      <c r="D16" s="11">
        <v>0.105</v>
      </c>
    </row>
    <row r="17" spans="2:39" x14ac:dyDescent="0.2">
      <c r="B17" t="s">
        <v>212</v>
      </c>
      <c r="C17" t="s">
        <v>196</v>
      </c>
      <c r="D17" s="64">
        <f>D15+D16</f>
        <v>0.21937000000000001</v>
      </c>
      <c r="F17" t="s">
        <v>213</v>
      </c>
      <c r="G17" s="41">
        <f ca="1">IRR(G15:AU15)</f>
        <v>6.0221662381952035E-2</v>
      </c>
    </row>
    <row r="18" spans="2:39" x14ac:dyDescent="0.2">
      <c r="D18" s="12"/>
      <c r="F18" t="s">
        <v>215</v>
      </c>
      <c r="G18" s="12">
        <f ca="1">G17*360/H7</f>
        <v>0.23564998323372538</v>
      </c>
    </row>
    <row r="19" spans="2:39" x14ac:dyDescent="0.2">
      <c r="D19" s="41"/>
      <c r="F19" t="s">
        <v>217</v>
      </c>
      <c r="G19" s="12">
        <f ca="1">(1+G18*H7/360)^(365/H7)-1</f>
        <v>0.26112618011275979</v>
      </c>
    </row>
    <row r="21" spans="2:39" x14ac:dyDescent="0.2">
      <c r="AM21" s="137"/>
    </row>
    <row r="22" spans="2:39" x14ac:dyDescent="0.2">
      <c r="AM22" s="137"/>
    </row>
    <row r="23" spans="2:39" x14ac:dyDescent="0.2">
      <c r="AM23" s="137"/>
    </row>
    <row r="24" spans="2:39" x14ac:dyDescent="0.2">
      <c r="AM24" s="13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51F4-0259-7E42-88A5-7E8599B309E9}">
  <dimension ref="B4:AA37"/>
  <sheetViews>
    <sheetView workbookViewId="0">
      <selection activeCell="D7" sqref="D7"/>
    </sheetView>
  </sheetViews>
  <sheetFormatPr baseColWidth="10" defaultColWidth="11" defaultRowHeight="16" x14ac:dyDescent="0.2"/>
  <cols>
    <col min="2" max="2" width="14.33203125" bestFit="1" customWidth="1"/>
    <col min="6" max="6" width="27.5" bestFit="1" customWidth="1"/>
    <col min="8" max="8" width="13.1640625" bestFit="1" customWidth="1"/>
  </cols>
  <sheetData>
    <row r="4" spans="2:27" x14ac:dyDescent="0.2">
      <c r="C4" t="s">
        <v>171</v>
      </c>
      <c r="D4" s="56">
        <f ca="1">TODAY()</f>
        <v>46193</v>
      </c>
      <c r="G4" s="56">
        <f ca="1">D4</f>
        <v>46193</v>
      </c>
      <c r="H4" s="56">
        <f ca="1">EDATE(G4,6)</f>
        <v>46376</v>
      </c>
      <c r="I4" s="56">
        <f t="shared" ref="I4:AA4" ca="1" si="0">EDATE(H4,6)</f>
        <v>46558</v>
      </c>
      <c r="J4" s="56">
        <f t="shared" ca="1" si="0"/>
        <v>46741</v>
      </c>
      <c r="K4" s="56">
        <f t="shared" ca="1" si="0"/>
        <v>46924</v>
      </c>
      <c r="L4" s="56">
        <f t="shared" ca="1" si="0"/>
        <v>47107</v>
      </c>
      <c r="M4" s="56">
        <f t="shared" ca="1" si="0"/>
        <v>47289</v>
      </c>
      <c r="N4" s="56">
        <f t="shared" ca="1" si="0"/>
        <v>47472</v>
      </c>
      <c r="O4" s="56">
        <f t="shared" ca="1" si="0"/>
        <v>47654</v>
      </c>
      <c r="P4" s="56">
        <f t="shared" ca="1" si="0"/>
        <v>47837</v>
      </c>
      <c r="Q4" s="56">
        <f t="shared" ca="1" si="0"/>
        <v>48019</v>
      </c>
      <c r="R4" s="56">
        <f t="shared" ca="1" si="0"/>
        <v>48202</v>
      </c>
      <c r="S4" s="56">
        <f t="shared" ca="1" si="0"/>
        <v>48385</v>
      </c>
      <c r="T4" s="56">
        <f t="shared" ca="1" si="0"/>
        <v>48568</v>
      </c>
      <c r="U4" s="56">
        <f t="shared" ca="1" si="0"/>
        <v>48750</v>
      </c>
      <c r="V4" s="56">
        <f t="shared" ca="1" si="0"/>
        <v>48933</v>
      </c>
      <c r="W4" s="56">
        <f t="shared" ca="1" si="0"/>
        <v>49115</v>
      </c>
      <c r="X4" s="56">
        <f t="shared" ca="1" si="0"/>
        <v>49298</v>
      </c>
      <c r="Y4" s="56">
        <f t="shared" ca="1" si="0"/>
        <v>49480</v>
      </c>
      <c r="Z4" s="56">
        <f t="shared" ca="1" si="0"/>
        <v>49663</v>
      </c>
      <c r="AA4" s="56">
        <f t="shared" ca="1" si="0"/>
        <v>49846</v>
      </c>
    </row>
    <row r="5" spans="2:27" x14ac:dyDescent="0.2">
      <c r="C5" t="s">
        <v>190</v>
      </c>
      <c r="D5" s="127">
        <v>3</v>
      </c>
      <c r="F5" t="s">
        <v>221</v>
      </c>
      <c r="G5">
        <v>0</v>
      </c>
      <c r="H5">
        <v>1</v>
      </c>
      <c r="I5">
        <v>2</v>
      </c>
      <c r="J5">
        <v>3</v>
      </c>
      <c r="K5">
        <v>4</v>
      </c>
      <c r="L5">
        <v>5</v>
      </c>
      <c r="M5">
        <v>6</v>
      </c>
      <c r="N5">
        <v>7</v>
      </c>
      <c r="O5">
        <v>8</v>
      </c>
      <c r="P5">
        <v>9</v>
      </c>
      <c r="Q5">
        <v>10</v>
      </c>
      <c r="R5">
        <v>11</v>
      </c>
      <c r="S5">
        <v>12</v>
      </c>
      <c r="T5">
        <v>13</v>
      </c>
      <c r="U5">
        <v>14</v>
      </c>
      <c r="V5">
        <v>15</v>
      </c>
      <c r="W5">
        <v>16</v>
      </c>
      <c r="X5">
        <v>17</v>
      </c>
      <c r="Y5">
        <v>18</v>
      </c>
      <c r="Z5">
        <v>19</v>
      </c>
      <c r="AA5">
        <v>20</v>
      </c>
    </row>
    <row r="6" spans="2:27" x14ac:dyDescent="0.2">
      <c r="D6" s="127"/>
      <c r="F6" t="s">
        <v>185</v>
      </c>
      <c r="H6">
        <v>1</v>
      </c>
      <c r="I6">
        <v>1</v>
      </c>
      <c r="J6">
        <v>2</v>
      </c>
      <c r="K6">
        <v>2</v>
      </c>
      <c r="L6">
        <v>3</v>
      </c>
      <c r="M6">
        <v>3</v>
      </c>
      <c r="N6">
        <v>4</v>
      </c>
      <c r="O6">
        <v>4</v>
      </c>
      <c r="P6">
        <v>5</v>
      </c>
      <c r="Q6">
        <v>5</v>
      </c>
      <c r="R6">
        <v>6</v>
      </c>
      <c r="S6">
        <v>6</v>
      </c>
      <c r="T6">
        <v>7</v>
      </c>
      <c r="U6">
        <v>7</v>
      </c>
      <c r="V6">
        <v>8</v>
      </c>
      <c r="W6">
        <v>8</v>
      </c>
      <c r="X6">
        <v>9</v>
      </c>
      <c r="Y6">
        <v>9</v>
      </c>
      <c r="Z6">
        <v>10</v>
      </c>
      <c r="AA6">
        <v>10</v>
      </c>
    </row>
    <row r="7" spans="2:27" x14ac:dyDescent="0.2">
      <c r="B7" t="s">
        <v>192</v>
      </c>
      <c r="C7" t="s">
        <v>193</v>
      </c>
      <c r="D7" s="21">
        <f>Datos!C10*Datos!C35</f>
        <v>11200</v>
      </c>
      <c r="F7" t="s">
        <v>194</v>
      </c>
      <c r="H7">
        <f ca="1">H4-G4</f>
        <v>183</v>
      </c>
      <c r="I7">
        <f t="shared" ref="I7:AA7" ca="1" si="1">I4-H4</f>
        <v>182</v>
      </c>
      <c r="J7">
        <f t="shared" ca="1" si="1"/>
        <v>183</v>
      </c>
      <c r="K7">
        <f t="shared" ca="1" si="1"/>
        <v>183</v>
      </c>
      <c r="L7">
        <f t="shared" ca="1" si="1"/>
        <v>183</v>
      </c>
      <c r="M7">
        <f t="shared" ca="1" si="1"/>
        <v>182</v>
      </c>
      <c r="N7">
        <f t="shared" ca="1" si="1"/>
        <v>183</v>
      </c>
      <c r="O7">
        <f t="shared" ca="1" si="1"/>
        <v>182</v>
      </c>
      <c r="P7">
        <f t="shared" ca="1" si="1"/>
        <v>183</v>
      </c>
      <c r="Q7">
        <f t="shared" ca="1" si="1"/>
        <v>182</v>
      </c>
      <c r="R7">
        <f t="shared" ca="1" si="1"/>
        <v>183</v>
      </c>
      <c r="S7">
        <f t="shared" ca="1" si="1"/>
        <v>183</v>
      </c>
      <c r="T7">
        <f t="shared" ca="1" si="1"/>
        <v>183</v>
      </c>
      <c r="U7">
        <f t="shared" ca="1" si="1"/>
        <v>182</v>
      </c>
      <c r="V7">
        <f t="shared" ca="1" si="1"/>
        <v>183</v>
      </c>
      <c r="W7">
        <f t="shared" ca="1" si="1"/>
        <v>182</v>
      </c>
      <c r="X7">
        <f t="shared" ca="1" si="1"/>
        <v>183</v>
      </c>
      <c r="Y7">
        <f t="shared" ca="1" si="1"/>
        <v>182</v>
      </c>
      <c r="Z7">
        <f t="shared" ca="1" si="1"/>
        <v>183</v>
      </c>
      <c r="AA7">
        <f t="shared" ca="1" si="1"/>
        <v>183</v>
      </c>
    </row>
    <row r="8" spans="2:27" x14ac:dyDescent="0.2">
      <c r="B8" t="s">
        <v>195</v>
      </c>
      <c r="C8" t="s">
        <v>196</v>
      </c>
      <c r="D8" s="128" t="s">
        <v>222</v>
      </c>
      <c r="F8" t="s">
        <v>198</v>
      </c>
      <c r="H8" s="41">
        <f ca="1">(1+$D$17)^(H7/365)-1</f>
        <v>8.1681051284740125E-2</v>
      </c>
      <c r="I8" s="41">
        <f t="shared" ref="I8:AA8" ca="1" si="2">(1+$D$17)^(I7/365)-1</f>
        <v>8.121705433493287E-2</v>
      </c>
      <c r="J8" s="41">
        <f t="shared" ca="1" si="2"/>
        <v>8.1681051284740125E-2</v>
      </c>
      <c r="K8" s="41">
        <f t="shared" ca="1" si="2"/>
        <v>8.1681051284740125E-2</v>
      </c>
      <c r="L8" s="41">
        <f t="shared" ca="1" si="2"/>
        <v>8.1681051284740125E-2</v>
      </c>
      <c r="M8" s="41">
        <f t="shared" ca="1" si="2"/>
        <v>8.121705433493287E-2</v>
      </c>
      <c r="N8" s="41">
        <f t="shared" ca="1" si="2"/>
        <v>8.1681051284740125E-2</v>
      </c>
      <c r="O8" s="41">
        <f t="shared" ca="1" si="2"/>
        <v>8.121705433493287E-2</v>
      </c>
      <c r="P8" s="41">
        <f t="shared" ca="1" si="2"/>
        <v>8.1681051284740125E-2</v>
      </c>
      <c r="Q8" s="41">
        <f t="shared" ca="1" si="2"/>
        <v>8.121705433493287E-2</v>
      </c>
      <c r="R8" s="41">
        <f t="shared" ca="1" si="2"/>
        <v>8.1681051284740125E-2</v>
      </c>
      <c r="S8" s="41">
        <f t="shared" ca="1" si="2"/>
        <v>8.1681051284740125E-2</v>
      </c>
      <c r="T8" s="41">
        <f t="shared" ca="1" si="2"/>
        <v>8.1681051284740125E-2</v>
      </c>
      <c r="U8" s="41">
        <f t="shared" ca="1" si="2"/>
        <v>8.121705433493287E-2</v>
      </c>
      <c r="V8" s="41">
        <f t="shared" ca="1" si="2"/>
        <v>8.1681051284740125E-2</v>
      </c>
      <c r="W8" s="41">
        <f t="shared" ca="1" si="2"/>
        <v>8.121705433493287E-2</v>
      </c>
      <c r="X8" s="41">
        <f t="shared" ca="1" si="2"/>
        <v>8.1681051284740125E-2</v>
      </c>
      <c r="Y8" s="41">
        <f t="shared" ca="1" si="2"/>
        <v>8.121705433493287E-2</v>
      </c>
      <c r="Z8" s="41">
        <f t="shared" ca="1" si="2"/>
        <v>8.1681051284740125E-2</v>
      </c>
      <c r="AA8" s="41">
        <f t="shared" ca="1" si="2"/>
        <v>8.1681051284740125E-2</v>
      </c>
    </row>
    <row r="9" spans="2:27" x14ac:dyDescent="0.2">
      <c r="B9" t="s">
        <v>219</v>
      </c>
      <c r="C9" t="s">
        <v>196</v>
      </c>
      <c r="D9" s="11">
        <v>0.105</v>
      </c>
      <c r="F9" t="s">
        <v>200</v>
      </c>
      <c r="G9">
        <f>D7</f>
        <v>11200</v>
      </c>
      <c r="H9">
        <f t="shared" ref="H9:R9" si="3">G9-H12</f>
        <v>11200</v>
      </c>
      <c r="I9">
        <f t="shared" si="3"/>
        <v>11200</v>
      </c>
      <c r="J9">
        <f t="shared" si="3"/>
        <v>11200</v>
      </c>
      <c r="K9">
        <f t="shared" si="3"/>
        <v>11200</v>
      </c>
      <c r="L9">
        <f t="shared" si="3"/>
        <v>11200</v>
      </c>
      <c r="M9">
        <f t="shared" si="3"/>
        <v>11200</v>
      </c>
      <c r="N9">
        <f t="shared" si="3"/>
        <v>11200</v>
      </c>
      <c r="O9">
        <f t="shared" si="3"/>
        <v>11200</v>
      </c>
      <c r="P9">
        <f t="shared" si="3"/>
        <v>11200</v>
      </c>
      <c r="Q9">
        <f t="shared" si="3"/>
        <v>11200</v>
      </c>
      <c r="R9">
        <f t="shared" si="3"/>
        <v>11200</v>
      </c>
      <c r="S9">
        <f t="shared" ref="S9:AA9" si="4">R9-S12</f>
        <v>11200</v>
      </c>
      <c r="T9">
        <f t="shared" si="4"/>
        <v>11200</v>
      </c>
      <c r="U9">
        <f t="shared" si="4"/>
        <v>11200</v>
      </c>
      <c r="V9">
        <f t="shared" si="4"/>
        <v>11200</v>
      </c>
      <c r="W9">
        <f t="shared" si="4"/>
        <v>11200</v>
      </c>
      <c r="X9">
        <f t="shared" si="4"/>
        <v>11200</v>
      </c>
      <c r="Y9">
        <f t="shared" si="4"/>
        <v>11200</v>
      </c>
      <c r="Z9">
        <f t="shared" si="4"/>
        <v>11200</v>
      </c>
      <c r="AA9">
        <f t="shared" si="4"/>
        <v>0</v>
      </c>
    </row>
    <row r="10" spans="2:27" x14ac:dyDescent="0.2">
      <c r="B10" t="s">
        <v>201</v>
      </c>
      <c r="C10" t="s">
        <v>202</v>
      </c>
      <c r="D10">
        <v>4</v>
      </c>
      <c r="F10" t="s">
        <v>203</v>
      </c>
      <c r="G10">
        <f>D7</f>
        <v>11200</v>
      </c>
    </row>
    <row r="11" spans="2:27" x14ac:dyDescent="0.2">
      <c r="B11" t="s">
        <v>204</v>
      </c>
      <c r="C11" t="s">
        <v>163</v>
      </c>
      <c r="D11">
        <v>5000</v>
      </c>
      <c r="F11" t="s">
        <v>154</v>
      </c>
      <c r="H11">
        <f ca="1">G9*H8</f>
        <v>914.82777438908943</v>
      </c>
      <c r="I11">
        <f t="shared" ref="I11" ca="1" si="5">H9*I8</f>
        <v>909.6310085512481</v>
      </c>
      <c r="J11">
        <f t="shared" ref="J11:S11" ca="1" si="6">I9*J8</f>
        <v>914.82777438908943</v>
      </c>
      <c r="K11">
        <f t="shared" ca="1" si="6"/>
        <v>914.82777438908943</v>
      </c>
      <c r="L11">
        <f t="shared" ca="1" si="6"/>
        <v>914.82777438908943</v>
      </c>
      <c r="M11">
        <f t="shared" ca="1" si="6"/>
        <v>909.6310085512481</v>
      </c>
      <c r="N11">
        <f t="shared" ca="1" si="6"/>
        <v>914.82777438908943</v>
      </c>
      <c r="O11">
        <f t="shared" ca="1" si="6"/>
        <v>909.6310085512481</v>
      </c>
      <c r="P11">
        <f t="shared" ca="1" si="6"/>
        <v>914.82777438908943</v>
      </c>
      <c r="Q11">
        <f t="shared" ca="1" si="6"/>
        <v>909.6310085512481</v>
      </c>
      <c r="R11">
        <f t="shared" ca="1" si="6"/>
        <v>914.82777438908943</v>
      </c>
      <c r="S11">
        <f t="shared" ca="1" si="6"/>
        <v>914.82777438908943</v>
      </c>
      <c r="T11">
        <f t="shared" ref="T11:AA11" ca="1" si="7">S9*T8</f>
        <v>914.82777438908943</v>
      </c>
      <c r="U11">
        <f t="shared" ca="1" si="7"/>
        <v>909.6310085512481</v>
      </c>
      <c r="V11">
        <f t="shared" ca="1" si="7"/>
        <v>914.82777438908943</v>
      </c>
      <c r="W11">
        <f t="shared" ca="1" si="7"/>
        <v>909.6310085512481</v>
      </c>
      <c r="X11">
        <f t="shared" ca="1" si="7"/>
        <v>914.82777438908943</v>
      </c>
      <c r="Y11">
        <f t="shared" ca="1" si="7"/>
        <v>909.6310085512481</v>
      </c>
      <c r="Z11">
        <f t="shared" ca="1" si="7"/>
        <v>914.82777438908943</v>
      </c>
      <c r="AA11">
        <f t="shared" ca="1" si="7"/>
        <v>914.82777438908943</v>
      </c>
    </row>
    <row r="12" spans="2:27" x14ac:dyDescent="0.2">
      <c r="F12" t="s">
        <v>207</v>
      </c>
      <c r="H12">
        <f>0</f>
        <v>0</v>
      </c>
      <c r="I12">
        <f>0</f>
        <v>0</v>
      </c>
      <c r="J12">
        <f>0</f>
        <v>0</v>
      </c>
      <c r="K12">
        <f>0</f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f>G9</f>
        <v>11200</v>
      </c>
    </row>
    <row r="13" spans="2:27" x14ac:dyDescent="0.2">
      <c r="B13" t="s">
        <v>44</v>
      </c>
      <c r="C13" t="s">
        <v>196</v>
      </c>
      <c r="D13" s="10">
        <v>0.25</v>
      </c>
      <c r="F13" t="s">
        <v>208</v>
      </c>
      <c r="H13">
        <f ca="1">H11+H12</f>
        <v>914.82777438908943</v>
      </c>
      <c r="I13">
        <f t="shared" ref="I13:S13" ca="1" si="8">I11+I12</f>
        <v>909.6310085512481</v>
      </c>
      <c r="J13">
        <f t="shared" ca="1" si="8"/>
        <v>914.82777438908943</v>
      </c>
      <c r="K13">
        <f t="shared" ca="1" si="8"/>
        <v>914.82777438908943</v>
      </c>
      <c r="L13">
        <f t="shared" ca="1" si="8"/>
        <v>914.82777438908943</v>
      </c>
      <c r="M13">
        <f t="shared" ca="1" si="8"/>
        <v>909.6310085512481</v>
      </c>
      <c r="N13">
        <f t="shared" ca="1" si="8"/>
        <v>914.82777438908943</v>
      </c>
      <c r="O13">
        <f t="shared" ca="1" si="8"/>
        <v>909.6310085512481</v>
      </c>
      <c r="P13">
        <f t="shared" ca="1" si="8"/>
        <v>914.82777438908943</v>
      </c>
      <c r="Q13">
        <f t="shared" ca="1" si="8"/>
        <v>909.6310085512481</v>
      </c>
      <c r="R13">
        <f t="shared" ca="1" si="8"/>
        <v>914.82777438908943</v>
      </c>
      <c r="S13">
        <f t="shared" ca="1" si="8"/>
        <v>914.82777438908943</v>
      </c>
      <c r="T13">
        <f t="shared" ref="T13:AA13" ca="1" si="9">T11+T12</f>
        <v>914.82777438908943</v>
      </c>
      <c r="U13">
        <f t="shared" ca="1" si="9"/>
        <v>909.6310085512481</v>
      </c>
      <c r="V13">
        <f t="shared" ca="1" si="9"/>
        <v>914.82777438908943</v>
      </c>
      <c r="W13">
        <f t="shared" ca="1" si="9"/>
        <v>909.6310085512481</v>
      </c>
      <c r="X13">
        <f t="shared" ca="1" si="9"/>
        <v>914.82777438908943</v>
      </c>
      <c r="Y13">
        <f t="shared" ca="1" si="9"/>
        <v>909.6310085512481</v>
      </c>
      <c r="Z13">
        <f t="shared" ca="1" si="9"/>
        <v>914.82777438908943</v>
      </c>
      <c r="AA13">
        <f t="shared" ca="1" si="9"/>
        <v>12114.82777438909</v>
      </c>
    </row>
    <row r="14" spans="2:27" x14ac:dyDescent="0.2">
      <c r="F14" t="s">
        <v>44</v>
      </c>
      <c r="G14">
        <f>G10*D13</f>
        <v>2800</v>
      </c>
    </row>
    <row r="15" spans="2:27" x14ac:dyDescent="0.2">
      <c r="B15" t="s">
        <v>222</v>
      </c>
      <c r="C15" t="s">
        <v>196</v>
      </c>
      <c r="D15" s="12">
        <v>5.8400000000000001E-2</v>
      </c>
      <c r="F15" t="s">
        <v>210</v>
      </c>
      <c r="G15">
        <f>G9-G14</f>
        <v>8400</v>
      </c>
      <c r="H15">
        <f ca="1">-H13</f>
        <v>-914.82777438908943</v>
      </c>
      <c r="I15">
        <f t="shared" ref="I15:S15" ca="1" si="10">-I13</f>
        <v>-909.6310085512481</v>
      </c>
      <c r="J15">
        <f t="shared" ca="1" si="10"/>
        <v>-914.82777438908943</v>
      </c>
      <c r="K15">
        <f t="shared" ca="1" si="10"/>
        <v>-914.82777438908943</v>
      </c>
      <c r="L15">
        <f t="shared" ca="1" si="10"/>
        <v>-914.82777438908943</v>
      </c>
      <c r="M15">
        <f t="shared" ca="1" si="10"/>
        <v>-909.6310085512481</v>
      </c>
      <c r="N15">
        <f t="shared" ca="1" si="10"/>
        <v>-914.82777438908943</v>
      </c>
      <c r="O15">
        <f t="shared" ca="1" si="10"/>
        <v>-909.6310085512481</v>
      </c>
      <c r="P15">
        <f t="shared" ca="1" si="10"/>
        <v>-914.82777438908943</v>
      </c>
      <c r="Q15">
        <f t="shared" ca="1" si="10"/>
        <v>-909.6310085512481</v>
      </c>
      <c r="R15">
        <f t="shared" ca="1" si="10"/>
        <v>-914.82777438908943</v>
      </c>
      <c r="S15">
        <f t="shared" ca="1" si="10"/>
        <v>-914.82777438908943</v>
      </c>
      <c r="T15">
        <f t="shared" ref="T15:AA15" ca="1" si="11">-T13</f>
        <v>-914.82777438908943</v>
      </c>
      <c r="U15">
        <f t="shared" ca="1" si="11"/>
        <v>-909.6310085512481</v>
      </c>
      <c r="V15">
        <f t="shared" ca="1" si="11"/>
        <v>-914.82777438908943</v>
      </c>
      <c r="W15">
        <f t="shared" ca="1" si="11"/>
        <v>-909.6310085512481</v>
      </c>
      <c r="X15">
        <f t="shared" ca="1" si="11"/>
        <v>-914.82777438908943</v>
      </c>
      <c r="Y15">
        <f t="shared" ca="1" si="11"/>
        <v>-909.6310085512481</v>
      </c>
      <c r="Z15">
        <f t="shared" ca="1" si="11"/>
        <v>-914.82777438908943</v>
      </c>
      <c r="AA15">
        <f t="shared" ca="1" si="11"/>
        <v>-12114.82777438909</v>
      </c>
    </row>
    <row r="16" spans="2:27" x14ac:dyDescent="0.2">
      <c r="B16" t="s">
        <v>223</v>
      </c>
      <c r="C16" t="s">
        <v>196</v>
      </c>
      <c r="D16" s="11">
        <f>D9</f>
        <v>0.105</v>
      </c>
    </row>
    <row r="17" spans="2:10" x14ac:dyDescent="0.2">
      <c r="B17" t="s">
        <v>224</v>
      </c>
      <c r="C17" t="s">
        <v>196</v>
      </c>
      <c r="D17" s="64">
        <f>(1+D15)*(1+D16)-1</f>
        <v>0.16953200000000002</v>
      </c>
      <c r="F17" t="s">
        <v>213</v>
      </c>
      <c r="G17" s="41">
        <f ca="1">IRR(G15:AA15)</f>
        <v>0.11367521686067539</v>
      </c>
    </row>
    <row r="18" spans="2:10" x14ac:dyDescent="0.2">
      <c r="D18" s="12"/>
      <c r="F18" t="s">
        <v>215</v>
      </c>
      <c r="G18" s="12">
        <f ca="1">G17*360/H7</f>
        <v>0.22362337743083685</v>
      </c>
    </row>
    <row r="19" spans="2:10" x14ac:dyDescent="0.2">
      <c r="D19" s="41"/>
      <c r="F19" t="s">
        <v>217</v>
      </c>
      <c r="G19" s="12">
        <f ca="1">(1+G18*H7/360)^(365/H7)-1</f>
        <v>0.239543005871383</v>
      </c>
    </row>
    <row r="24" spans="2:10" ht="15.75" customHeight="1" x14ac:dyDescent="0.2">
      <c r="F24" s="145" t="s">
        <v>225</v>
      </c>
      <c r="G24" s="145"/>
      <c r="H24" s="145"/>
      <c r="I24" s="145"/>
      <c r="J24" s="145"/>
    </row>
    <row r="26" spans="2:10" x14ac:dyDescent="0.2">
      <c r="F26" s="65" t="s">
        <v>185</v>
      </c>
      <c r="G26" s="65" t="s">
        <v>226</v>
      </c>
      <c r="H26" s="65" t="s">
        <v>227</v>
      </c>
      <c r="I26" s="65" t="s">
        <v>228</v>
      </c>
      <c r="J26" s="65" t="s">
        <v>229</v>
      </c>
    </row>
    <row r="27" spans="2:10" x14ac:dyDescent="0.2">
      <c r="F27">
        <v>1</v>
      </c>
      <c r="G27" s="129">
        <f t="shared" ref="G27:G36" ca="1" si="12">SUMIF($H$6:$AA$6,F27,$H$11:$AA$11)</f>
        <v>1824.4587829403376</v>
      </c>
      <c r="H27">
        <f t="shared" ref="H27:H35" si="13">SUMIF($AG$21:$AG$40,F27,$AJ$21:$AJ$40)</f>
        <v>0</v>
      </c>
      <c r="I27" s="63">
        <f t="shared" ref="I27:I36" ca="1" si="14">+G27+H27</f>
        <v>1824.4587829403376</v>
      </c>
      <c r="J27" s="63">
        <f>+$D$7</f>
        <v>11200</v>
      </c>
    </row>
    <row r="28" spans="2:10" x14ac:dyDescent="0.2">
      <c r="F28">
        <v>2</v>
      </c>
      <c r="G28" s="129">
        <f t="shared" ca="1" si="12"/>
        <v>1829.6555487781789</v>
      </c>
      <c r="H28">
        <f t="shared" si="13"/>
        <v>0</v>
      </c>
      <c r="I28" s="63">
        <f t="shared" ca="1" si="14"/>
        <v>1829.6555487781789</v>
      </c>
      <c r="J28" s="63">
        <f t="shared" ref="J28:J36" si="15">+J27-H28</f>
        <v>11200</v>
      </c>
    </row>
    <row r="29" spans="2:10" x14ac:dyDescent="0.2">
      <c r="F29">
        <v>3</v>
      </c>
      <c r="G29" s="129">
        <f t="shared" ca="1" si="12"/>
        <v>1824.4587829403376</v>
      </c>
      <c r="H29">
        <f t="shared" si="13"/>
        <v>0</v>
      </c>
      <c r="I29" s="63">
        <f t="shared" ca="1" si="14"/>
        <v>1824.4587829403376</v>
      </c>
      <c r="J29" s="63">
        <f t="shared" si="15"/>
        <v>11200</v>
      </c>
    </row>
    <row r="30" spans="2:10" x14ac:dyDescent="0.2">
      <c r="F30">
        <v>4</v>
      </c>
      <c r="G30" s="129">
        <f t="shared" ca="1" si="12"/>
        <v>1824.4587829403376</v>
      </c>
      <c r="H30">
        <f t="shared" si="13"/>
        <v>0</v>
      </c>
      <c r="I30" s="63">
        <f t="shared" ca="1" si="14"/>
        <v>1824.4587829403376</v>
      </c>
      <c r="J30" s="63">
        <f t="shared" si="15"/>
        <v>11200</v>
      </c>
    </row>
    <row r="31" spans="2:10" x14ac:dyDescent="0.2">
      <c r="F31">
        <v>5</v>
      </c>
      <c r="G31" s="129">
        <f t="shared" ca="1" si="12"/>
        <v>1824.4587829403376</v>
      </c>
      <c r="H31">
        <f t="shared" si="13"/>
        <v>0</v>
      </c>
      <c r="I31" s="63">
        <f t="shared" ca="1" si="14"/>
        <v>1824.4587829403376</v>
      </c>
      <c r="J31" s="63">
        <f t="shared" si="15"/>
        <v>11200</v>
      </c>
    </row>
    <row r="32" spans="2:10" x14ac:dyDescent="0.2">
      <c r="F32">
        <v>6</v>
      </c>
      <c r="G32" s="129">
        <f t="shared" ca="1" si="12"/>
        <v>1829.6555487781789</v>
      </c>
      <c r="H32">
        <f t="shared" si="13"/>
        <v>0</v>
      </c>
      <c r="I32" s="63">
        <f t="shared" ca="1" si="14"/>
        <v>1829.6555487781789</v>
      </c>
      <c r="J32" s="63">
        <f t="shared" si="15"/>
        <v>11200</v>
      </c>
    </row>
    <row r="33" spans="6:10" x14ac:dyDescent="0.2">
      <c r="F33">
        <v>7</v>
      </c>
      <c r="G33" s="129">
        <f t="shared" ca="1" si="12"/>
        <v>1824.4587829403376</v>
      </c>
      <c r="H33">
        <f t="shared" si="13"/>
        <v>0</v>
      </c>
      <c r="I33" s="63">
        <f t="shared" ca="1" si="14"/>
        <v>1824.4587829403376</v>
      </c>
      <c r="J33" s="63">
        <f t="shared" si="15"/>
        <v>11200</v>
      </c>
    </row>
    <row r="34" spans="6:10" x14ac:dyDescent="0.2">
      <c r="F34">
        <v>8</v>
      </c>
      <c r="G34" s="129">
        <f t="shared" ca="1" si="12"/>
        <v>1824.4587829403376</v>
      </c>
      <c r="H34">
        <f t="shared" si="13"/>
        <v>0</v>
      </c>
      <c r="I34" s="63">
        <f t="shared" ca="1" si="14"/>
        <v>1824.4587829403376</v>
      </c>
      <c r="J34" s="63">
        <f t="shared" si="15"/>
        <v>11200</v>
      </c>
    </row>
    <row r="35" spans="6:10" x14ac:dyDescent="0.2">
      <c r="F35">
        <v>9</v>
      </c>
      <c r="G35" s="129">
        <f t="shared" ca="1" si="12"/>
        <v>1824.4587829403376</v>
      </c>
      <c r="H35">
        <f t="shared" si="13"/>
        <v>0</v>
      </c>
      <c r="I35" s="63">
        <f t="shared" ca="1" si="14"/>
        <v>1824.4587829403376</v>
      </c>
      <c r="J35" s="63">
        <f t="shared" si="15"/>
        <v>11200</v>
      </c>
    </row>
    <row r="36" spans="6:10" x14ac:dyDescent="0.2">
      <c r="F36">
        <v>10</v>
      </c>
      <c r="G36" s="129">
        <f t="shared" ca="1" si="12"/>
        <v>1829.6555487781789</v>
      </c>
      <c r="H36" s="42">
        <f>AA12</f>
        <v>11200</v>
      </c>
      <c r="I36" s="63">
        <f t="shared" ca="1" si="14"/>
        <v>13029.655548778179</v>
      </c>
      <c r="J36" s="63">
        <f t="shared" si="15"/>
        <v>0</v>
      </c>
    </row>
    <row r="37" spans="6:10" x14ac:dyDescent="0.2">
      <c r="F37" s="65" t="s">
        <v>230</v>
      </c>
      <c r="G37" s="66">
        <f ca="1">SUM(G27:G36)</f>
        <v>18260.178126916901</v>
      </c>
      <c r="H37" s="66">
        <f>SUM(H27:H36)</f>
        <v>11200</v>
      </c>
      <c r="I37" s="66">
        <f ca="1">SUM(I27:I36)</f>
        <v>29460.178126916901</v>
      </c>
    </row>
  </sheetData>
  <mergeCells count="1">
    <mergeCell ref="F24:J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BD6C-4915-224B-BD54-B71D273CB923}">
  <dimension ref="A1:C19"/>
  <sheetViews>
    <sheetView workbookViewId="0">
      <selection activeCell="B18" sqref="B18"/>
    </sheetView>
  </sheetViews>
  <sheetFormatPr baseColWidth="10" defaultColWidth="11" defaultRowHeight="16" x14ac:dyDescent="0.2"/>
  <cols>
    <col min="1" max="1" width="50" bestFit="1" customWidth="1"/>
  </cols>
  <sheetData>
    <row r="1" spans="1:3" x14ac:dyDescent="0.2">
      <c r="A1" t="s">
        <v>231</v>
      </c>
      <c r="B1" s="12">
        <v>4.4400000000000002E-2</v>
      </c>
      <c r="C1" s="60" t="s">
        <v>232</v>
      </c>
    </row>
    <row r="2" spans="1:3" x14ac:dyDescent="0.2">
      <c r="A2" t="s">
        <v>233</v>
      </c>
      <c r="B2" s="12">
        <v>0.12591818181818185</v>
      </c>
    </row>
    <row r="3" spans="1:3" x14ac:dyDescent="0.2">
      <c r="A3" t="s">
        <v>234</v>
      </c>
      <c r="B3" s="41">
        <f>B2-B1</f>
        <v>8.1518181818181851E-2</v>
      </c>
    </row>
    <row r="4" spans="1:3" x14ac:dyDescent="0.2">
      <c r="A4" t="s">
        <v>235</v>
      </c>
      <c r="B4" s="61">
        <v>1.04</v>
      </c>
      <c r="C4" t="s">
        <v>236</v>
      </c>
    </row>
    <row r="5" spans="1:3" x14ac:dyDescent="0.2">
      <c r="A5" t="s">
        <v>237</v>
      </c>
      <c r="B5" s="41">
        <v>0.10980000000000001</v>
      </c>
    </row>
    <row r="6" spans="1:3" x14ac:dyDescent="0.2">
      <c r="A6" t="s">
        <v>23</v>
      </c>
      <c r="B6" s="41">
        <f>Datos!C17</f>
        <v>0.35</v>
      </c>
    </row>
    <row r="7" spans="1:3" x14ac:dyDescent="0.2">
      <c r="A7" t="s">
        <v>238</v>
      </c>
      <c r="B7" s="61">
        <f>((B4)/(1+(1-B6)*B5))</f>
        <v>0.97071973267871992</v>
      </c>
      <c r="C7" t="s">
        <v>239</v>
      </c>
    </row>
    <row r="8" spans="1:3" ht="17" x14ac:dyDescent="0.2">
      <c r="A8" s="26" t="s">
        <v>240</v>
      </c>
      <c r="B8" s="61">
        <v>0.96</v>
      </c>
      <c r="C8" t="s">
        <v>241</v>
      </c>
    </row>
    <row r="9" spans="1:3" ht="17" x14ac:dyDescent="0.2">
      <c r="A9" s="26" t="s">
        <v>242</v>
      </c>
      <c r="B9" s="61">
        <f>Datos!C35/Datos!C34</f>
        <v>4.0000000000000009</v>
      </c>
      <c r="C9" t="s">
        <v>243</v>
      </c>
    </row>
    <row r="10" spans="1:3" x14ac:dyDescent="0.2">
      <c r="A10" t="s">
        <v>244</v>
      </c>
      <c r="B10" s="61">
        <f>B7*(1+(1-B6)*(B9))</f>
        <v>3.4945910376433922</v>
      </c>
      <c r="C10" t="s">
        <v>239</v>
      </c>
    </row>
    <row r="11" spans="1:3" x14ac:dyDescent="0.2">
      <c r="A11" t="s">
        <v>245</v>
      </c>
      <c r="B11" s="41">
        <v>6.6430000000000003E-2</v>
      </c>
      <c r="C11" s="62" t="s">
        <v>246</v>
      </c>
    </row>
    <row r="12" spans="1:3" x14ac:dyDescent="0.2">
      <c r="A12" t="s">
        <v>247</v>
      </c>
      <c r="B12" s="41">
        <f>B11-B1</f>
        <v>2.2030000000000001E-2</v>
      </c>
      <c r="C12" t="s">
        <v>239</v>
      </c>
    </row>
    <row r="13" spans="1:3" x14ac:dyDescent="0.2">
      <c r="A13" t="s">
        <v>248</v>
      </c>
      <c r="B13" s="41">
        <v>0.121</v>
      </c>
      <c r="C13" s="60" t="s">
        <v>180</v>
      </c>
    </row>
    <row r="14" spans="1:3" x14ac:dyDescent="0.2">
      <c r="A14" t="s">
        <v>249</v>
      </c>
      <c r="B14" s="41">
        <f>B13-B11</f>
        <v>5.4569999999999994E-2</v>
      </c>
      <c r="C14" t="s">
        <v>239</v>
      </c>
    </row>
    <row r="15" spans="1:3" x14ac:dyDescent="0.2">
      <c r="A15" t="s">
        <v>250</v>
      </c>
      <c r="B15" s="41">
        <f>B1+B10*B3+B12</f>
        <v>0.35130270758680282</v>
      </c>
    </row>
    <row r="16" spans="1:3" x14ac:dyDescent="0.2">
      <c r="A16" t="s">
        <v>251</v>
      </c>
      <c r="B16" s="41">
        <f>(1+B15)*(1+B14)-1</f>
        <v>0.42504329633981475</v>
      </c>
    </row>
    <row r="17" spans="1:2" x14ac:dyDescent="0.2">
      <c r="A17" t="s">
        <v>252</v>
      </c>
      <c r="B17" s="36">
        <f ca="1">Bonos!G19</f>
        <v>0.239543005871383</v>
      </c>
    </row>
    <row r="18" spans="1:2" x14ac:dyDescent="0.2">
      <c r="A18" t="s">
        <v>253</v>
      </c>
      <c r="B18" s="136">
        <f ca="1">$B$16*Datos!$C$34+Datos!$C$35*B17*(1-B6)</f>
        <v>0.2095710223210821</v>
      </c>
    </row>
    <row r="19" spans="1:2" x14ac:dyDescent="0.2">
      <c r="B19" s="12"/>
    </row>
  </sheetData>
  <hyperlinks>
    <hyperlink ref="C1" r:id="rId1" xr:uid="{FD7B9E88-34E8-4D87-8C9F-36DA5A9C051B}"/>
    <hyperlink ref="C11" r:id="rId2" xr:uid="{F24AE56B-4FD0-48E1-8066-07F37B3CA27D}"/>
    <hyperlink ref="C13" r:id="rId3" xr:uid="{8E86C483-8705-46CD-A2A5-52D4FBACBED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BD1F-2BCE-1E4E-8D0F-AE09382DBF1B}">
  <dimension ref="A1:N7"/>
  <sheetViews>
    <sheetView topLeftCell="H1" workbookViewId="0">
      <selection activeCell="D11" sqref="D11"/>
    </sheetView>
  </sheetViews>
  <sheetFormatPr baseColWidth="10" defaultColWidth="11" defaultRowHeight="16" x14ac:dyDescent="0.2"/>
  <cols>
    <col min="1" max="1" width="19.6640625" bestFit="1" customWidth="1"/>
    <col min="2" max="11" width="19.6640625" customWidth="1"/>
    <col min="13" max="13" width="35.5" bestFit="1" customWidth="1"/>
    <col min="14" max="14" width="18.1640625" customWidth="1"/>
  </cols>
  <sheetData>
    <row r="1" spans="1:14" x14ac:dyDescent="0.2">
      <c r="A1" s="31" t="s">
        <v>254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  <c r="M1" t="s">
        <v>255</v>
      </c>
      <c r="N1" t="s">
        <v>256</v>
      </c>
    </row>
    <row r="2" spans="1:14" x14ac:dyDescent="0.2">
      <c r="A2" s="32" t="s">
        <v>8</v>
      </c>
      <c r="B2" s="21">
        <f>Datos!$C$5*1000000/Datos!$E$5</f>
        <v>425000000</v>
      </c>
      <c r="C2" s="21">
        <f>Datos!$C$5*1000000/Datos!$E$5</f>
        <v>425000000</v>
      </c>
      <c r="D2" s="21">
        <f>Datos!$C$5*1000000/Datos!$E$5</f>
        <v>425000000</v>
      </c>
      <c r="E2" s="21">
        <f>Datos!$C$5*1000000/Datos!$E$5</f>
        <v>425000000</v>
      </c>
      <c r="F2" s="21">
        <f>Datos!$C$5*1000000/Datos!$E$5</f>
        <v>425000000</v>
      </c>
      <c r="G2" s="21">
        <f>Datos!$C$5*1000000/Datos!$E$5</f>
        <v>425000000</v>
      </c>
      <c r="H2" s="21">
        <f>Datos!$C$5*1000000/Datos!$E$5</f>
        <v>425000000</v>
      </c>
      <c r="I2" s="21">
        <f>Datos!$C$5*1000000/Datos!$E$5</f>
        <v>425000000</v>
      </c>
      <c r="J2" s="21">
        <f>Datos!$C$5*1000000/Datos!$E$5</f>
        <v>425000000</v>
      </c>
      <c r="K2" s="21">
        <f>Datos!$C$5*1000000/Datos!$E$5</f>
        <v>425000000</v>
      </c>
      <c r="M2" t="s">
        <v>257</v>
      </c>
    </row>
    <row r="3" spans="1:14" x14ac:dyDescent="0.2">
      <c r="A3" s="33" t="s">
        <v>10</v>
      </c>
      <c r="B3" s="21">
        <f>Datos!$C$6*1000000/Datos!$E$6</f>
        <v>250000000</v>
      </c>
      <c r="C3" s="21">
        <f>Datos!$C$6*1000000/Datos!$E$6</f>
        <v>250000000</v>
      </c>
      <c r="D3" s="21">
        <f>Datos!$C$6*1000000/Datos!$E$6</f>
        <v>250000000</v>
      </c>
      <c r="E3" s="21">
        <f>Datos!$C$6*1000000/Datos!$E$6</f>
        <v>250000000</v>
      </c>
      <c r="F3" s="21">
        <f>Datos!$C$6*1000000/Datos!$E$6</f>
        <v>250000000</v>
      </c>
      <c r="G3" s="21">
        <f>Datos!$C$6*1000000/Datos!$E$6</f>
        <v>250000000</v>
      </c>
      <c r="H3" s="21">
        <f>Datos!$C$6*1000000/Datos!$E$6</f>
        <v>250000000</v>
      </c>
      <c r="I3" s="21">
        <f>Datos!$C$6*1000000/Datos!$E$6</f>
        <v>250000000</v>
      </c>
      <c r="J3" s="21">
        <f>Datos!$C$6*1000000/Datos!$E$6</f>
        <v>250000000</v>
      </c>
      <c r="K3" s="21">
        <f>Datos!$C$6*1000000/Datos!$E$6</f>
        <v>250000000</v>
      </c>
      <c r="M3" t="s">
        <v>258</v>
      </c>
    </row>
    <row r="4" spans="1:14" x14ac:dyDescent="0.2">
      <c r="A4" s="34" t="s">
        <v>12</v>
      </c>
      <c r="B4" s="21">
        <f>Datos!$C$7*1000000/Datos!$E$7</f>
        <v>19799999.999999996</v>
      </c>
      <c r="C4" s="21">
        <f>Datos!$C$7*1000000/Datos!$E$7</f>
        <v>19799999.999999996</v>
      </c>
      <c r="D4" s="21">
        <f>Datos!$C$7*1000000/Datos!$E$7</f>
        <v>19799999.999999996</v>
      </c>
      <c r="E4" s="21">
        <f>Datos!$C$7*1000000/Datos!$E$7</f>
        <v>19799999.999999996</v>
      </c>
      <c r="F4" s="21">
        <f>Datos!$C$7*1000000/Datos!$E$7</f>
        <v>19799999.999999996</v>
      </c>
      <c r="G4" s="21">
        <f>Datos!$C$7*1000000/Datos!$E$7</f>
        <v>19799999.999999996</v>
      </c>
      <c r="H4" s="21">
        <f>Datos!$C$7*1000000/Datos!$E$7</f>
        <v>19799999.999999996</v>
      </c>
      <c r="I4" s="21">
        <f>Datos!$C$7*1000000/Datos!$E$7</f>
        <v>19799999.999999996</v>
      </c>
      <c r="J4" s="21">
        <f>Datos!$C$7*1000000/Datos!$E$7</f>
        <v>19799999.999999996</v>
      </c>
      <c r="K4" s="21">
        <f>Datos!$C$7*1000000/Datos!$E$7</f>
        <v>19799999.999999996</v>
      </c>
    </row>
    <row r="5" spans="1:14" x14ac:dyDescent="0.2">
      <c r="A5" s="33" t="s">
        <v>13</v>
      </c>
      <c r="B5" s="21">
        <f>Datos!$C$8*1000000/Datos!$E$8</f>
        <v>42500000</v>
      </c>
      <c r="C5" s="21">
        <f>Datos!$C$8*1000000/Datos!$E$8</f>
        <v>42500000</v>
      </c>
      <c r="D5" s="21">
        <f>Datos!$C$8*1000000/Datos!$E$8</f>
        <v>42500000</v>
      </c>
      <c r="E5" s="21">
        <f>Datos!$C$8*1000000/Datos!$E$8</f>
        <v>42500000</v>
      </c>
      <c r="F5" s="21">
        <f>Datos!$C$8*1000000/Datos!$E$8</f>
        <v>42500000</v>
      </c>
      <c r="G5" s="21">
        <f>Datos!$C$8*1000000/Datos!$E$8</f>
        <v>42500000</v>
      </c>
      <c r="H5" s="21">
        <f>Datos!$C$8*1000000/Datos!$E$8</f>
        <v>42500000</v>
      </c>
      <c r="I5" s="21">
        <f>Datos!$C$8*1000000/Datos!$E$8</f>
        <v>42500000</v>
      </c>
      <c r="J5" s="21">
        <f>Datos!$C$8*1000000/Datos!$E$8</f>
        <v>42500000</v>
      </c>
      <c r="K5" s="21">
        <f>Datos!$C$8*1000000/Datos!$E$8</f>
        <v>42500000</v>
      </c>
    </row>
    <row r="6" spans="1:14" x14ac:dyDescent="0.2">
      <c r="A6" s="34" t="s">
        <v>15</v>
      </c>
      <c r="B6" s="21">
        <f>Datos!$C$9*1000000/Datos!$E$9</f>
        <v>62500000</v>
      </c>
      <c r="C6" s="21">
        <f>Datos!$C$9*1000000/Datos!$E$9</f>
        <v>62500000</v>
      </c>
      <c r="D6" s="21">
        <f>Datos!$C$9*1000000/Datos!$E$9</f>
        <v>62500000</v>
      </c>
      <c r="E6" s="21">
        <f>Datos!$C$9*1000000/Datos!$E$9</f>
        <v>62500000</v>
      </c>
      <c r="F6" s="21">
        <f>Datos!$C$9*1000000/Datos!$E$9</f>
        <v>62500000</v>
      </c>
      <c r="G6" s="21">
        <f>Datos!$C$9*1000000/Datos!$E$9</f>
        <v>62500000</v>
      </c>
      <c r="H6" s="21">
        <f>Datos!$C$9*1000000/Datos!$E$9</f>
        <v>62500000</v>
      </c>
      <c r="I6" s="21">
        <f>Datos!$C$9*1000000/Datos!$E$9</f>
        <v>62500000</v>
      </c>
      <c r="J6" s="21">
        <f>Datos!$C$9*1000000/Datos!$E$9</f>
        <v>62500000</v>
      </c>
      <c r="K6" s="21">
        <f>Datos!$C$9*1000000/Datos!$E$9</f>
        <v>62500000</v>
      </c>
    </row>
    <row r="7" spans="1:14" x14ac:dyDescent="0.2">
      <c r="A7" s="35" t="s">
        <v>22</v>
      </c>
      <c r="B7" s="21">
        <f>SUM(B2:B6)</f>
        <v>799800000</v>
      </c>
      <c r="C7" s="21">
        <f t="shared" ref="C7:K7" si="0">SUM(C2:C6)</f>
        <v>799800000</v>
      </c>
      <c r="D7" s="21">
        <f t="shared" si="0"/>
        <v>799800000</v>
      </c>
      <c r="E7" s="21">
        <f t="shared" si="0"/>
        <v>799800000</v>
      </c>
      <c r="F7" s="21">
        <f t="shared" si="0"/>
        <v>799800000</v>
      </c>
      <c r="G7" s="21">
        <f t="shared" si="0"/>
        <v>799800000</v>
      </c>
      <c r="H7" s="21">
        <f t="shared" si="0"/>
        <v>799800000</v>
      </c>
      <c r="I7" s="21">
        <f t="shared" si="0"/>
        <v>799800000</v>
      </c>
      <c r="J7" s="21">
        <f t="shared" si="0"/>
        <v>799800000</v>
      </c>
      <c r="K7" s="21">
        <f t="shared" si="0"/>
        <v>799800000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E71F-6DFA-A045-AE71-A6025EE383B4}">
  <dimension ref="A1:K7"/>
  <sheetViews>
    <sheetView workbookViewId="0">
      <selection activeCell="C25" sqref="C25"/>
    </sheetView>
  </sheetViews>
  <sheetFormatPr baseColWidth="10" defaultColWidth="11" defaultRowHeight="16" x14ac:dyDescent="0.2"/>
  <cols>
    <col min="1" max="1" width="30.5" customWidth="1"/>
    <col min="2" max="11" width="13.5" bestFit="1" customWidth="1"/>
  </cols>
  <sheetData>
    <row r="1" spans="1:11" x14ac:dyDescent="0.2">
      <c r="A1" s="31" t="s">
        <v>254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</row>
    <row r="2" spans="1:11" x14ac:dyDescent="0.2">
      <c r="A2" s="32" t="s">
        <v>259</v>
      </c>
      <c r="B2" s="21">
        <f>1000000*Datos!$C$10*Datos!$C$25/5</f>
        <v>280000000</v>
      </c>
      <c r="C2" s="21">
        <f>1000000*Datos!$C$10*Datos!$C$25/5</f>
        <v>280000000</v>
      </c>
      <c r="D2" s="21">
        <f>1000000*Datos!$C$10*Datos!$C$25/5</f>
        <v>280000000</v>
      </c>
      <c r="E2" s="21">
        <f>1000000*Datos!$C$10*Datos!$C$25/5</f>
        <v>280000000</v>
      </c>
      <c r="F2" s="21">
        <f>1000000*Datos!$C$10*Datos!$C$25/5</f>
        <v>280000000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</row>
    <row r="3" spans="1:11" x14ac:dyDescent="0.2">
      <c r="A3" s="33" t="s">
        <v>260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1">
        <f>1000000*Datos!$C$10*Datos!$C$25/5</f>
        <v>280000000</v>
      </c>
      <c r="H3" s="21">
        <f>1000000*Datos!$C$10*Datos!$C$25/5</f>
        <v>280000000</v>
      </c>
      <c r="I3" s="21">
        <f>1000000*Datos!$C$10*Datos!$C$25/5</f>
        <v>280000000</v>
      </c>
      <c r="J3" s="21">
        <f>1000000*Datos!$C$10*Datos!$C$25/5</f>
        <v>280000000</v>
      </c>
      <c r="K3" s="21">
        <f>1000000*Datos!$C$10*Datos!$C$25/5</f>
        <v>280000000</v>
      </c>
    </row>
    <row r="4" spans="1:11" x14ac:dyDescent="0.2">
      <c r="A4" s="32" t="s">
        <v>22</v>
      </c>
      <c r="B4" s="21">
        <f>SUM(B2:B3)</f>
        <v>280000000</v>
      </c>
      <c r="C4" s="21">
        <f t="shared" ref="C4:K4" si="0">SUM(C2:C3)</f>
        <v>280000000</v>
      </c>
      <c r="D4" s="21">
        <f t="shared" si="0"/>
        <v>280000000</v>
      </c>
      <c r="E4" s="21">
        <f t="shared" si="0"/>
        <v>280000000</v>
      </c>
      <c r="F4" s="21">
        <f t="shared" si="0"/>
        <v>280000000</v>
      </c>
      <c r="G4" s="21">
        <f t="shared" si="0"/>
        <v>280000000</v>
      </c>
      <c r="H4" s="21">
        <f t="shared" si="0"/>
        <v>280000000</v>
      </c>
      <c r="I4" s="21">
        <f t="shared" si="0"/>
        <v>280000000</v>
      </c>
      <c r="J4" s="21">
        <f t="shared" si="0"/>
        <v>280000000</v>
      </c>
      <c r="K4" s="21">
        <f t="shared" si="0"/>
        <v>280000000</v>
      </c>
    </row>
    <row r="5" spans="1:11" x14ac:dyDescent="0.2">
      <c r="B5" s="21"/>
      <c r="C5" s="21"/>
      <c r="D5" s="21"/>
      <c r="E5" s="21"/>
      <c r="F5" s="21"/>
      <c r="G5" s="21"/>
      <c r="H5" s="21"/>
      <c r="I5" s="21"/>
      <c r="J5" s="21"/>
      <c r="K5" s="21"/>
    </row>
    <row r="6" spans="1:11" x14ac:dyDescent="0.2">
      <c r="B6" s="21"/>
      <c r="C6" s="21"/>
      <c r="D6" s="21"/>
      <c r="E6" s="21"/>
      <c r="F6" s="21"/>
      <c r="G6" s="21"/>
      <c r="H6" s="21"/>
      <c r="I6" s="21"/>
      <c r="J6" s="21"/>
      <c r="K6" s="21"/>
    </row>
    <row r="7" spans="1:11" x14ac:dyDescent="0.2">
      <c r="B7" s="21"/>
      <c r="C7" s="21"/>
      <c r="D7" s="21"/>
      <c r="E7" s="21"/>
      <c r="F7" s="21"/>
      <c r="G7" s="21"/>
      <c r="H7" s="21"/>
      <c r="I7" s="21"/>
      <c r="J7" s="21"/>
      <c r="K7" s="2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9445-2C08-43B0-8FE5-992216A9CA7B}">
  <dimension ref="A1:R103"/>
  <sheetViews>
    <sheetView showGridLines="0" tabSelected="1" topLeftCell="A48" zoomScale="91" zoomScaleNormal="91" workbookViewId="0">
      <selection activeCell="B92" sqref="B92"/>
    </sheetView>
  </sheetViews>
  <sheetFormatPr baseColWidth="10" defaultColWidth="11" defaultRowHeight="12" x14ac:dyDescent="0.15"/>
  <cols>
    <col min="1" max="1" width="18.83203125" style="82" bestFit="1" customWidth="1"/>
    <col min="2" max="2" width="37.5" style="96" customWidth="1"/>
    <col min="3" max="3" width="19" style="82" bestFit="1" customWidth="1"/>
    <col min="4" max="4" width="21.6640625" style="82" bestFit="1" customWidth="1"/>
    <col min="5" max="10" width="17.6640625" style="82" bestFit="1" customWidth="1"/>
    <col min="11" max="13" width="18.6640625" style="82" bestFit="1" customWidth="1"/>
    <col min="14" max="14" width="26.6640625" style="82" customWidth="1"/>
    <col min="15" max="15" width="34.5" style="82" bestFit="1" customWidth="1"/>
    <col min="16" max="16" width="17.6640625" style="82" bestFit="1" customWidth="1"/>
    <col min="17" max="16384" width="11" style="82"/>
  </cols>
  <sheetData>
    <row r="1" spans="1:18" s="81" customFormat="1" ht="13" x14ac:dyDescent="0.15">
      <c r="B1" s="98" t="s">
        <v>185</v>
      </c>
      <c r="C1" s="99" t="s">
        <v>261</v>
      </c>
      <c r="D1" s="99" t="s">
        <v>85</v>
      </c>
      <c r="E1" s="99" t="s">
        <v>86</v>
      </c>
      <c r="F1" s="99" t="s">
        <v>87</v>
      </c>
      <c r="G1" s="99" t="s">
        <v>88</v>
      </c>
      <c r="H1" s="99" t="s">
        <v>89</v>
      </c>
      <c r="I1" s="99" t="s">
        <v>90</v>
      </c>
      <c r="J1" s="99" t="s">
        <v>91</v>
      </c>
      <c r="K1" s="99" t="s">
        <v>92</v>
      </c>
      <c r="L1" s="99" t="s">
        <v>93</v>
      </c>
      <c r="M1" s="99" t="s">
        <v>94</v>
      </c>
      <c r="N1" s="99"/>
    </row>
    <row r="2" spans="1:18" ht="13" x14ac:dyDescent="0.15">
      <c r="B2" s="96" t="s">
        <v>95</v>
      </c>
      <c r="C2" s="97">
        <v>0</v>
      </c>
      <c r="D2" s="97">
        <v>1</v>
      </c>
      <c r="E2" s="97">
        <v>2</v>
      </c>
      <c r="F2" s="97">
        <v>3</v>
      </c>
      <c r="G2" s="97">
        <v>4</v>
      </c>
      <c r="H2" s="97">
        <v>5</v>
      </c>
      <c r="I2" s="97">
        <v>6</v>
      </c>
      <c r="J2" s="97">
        <v>7</v>
      </c>
      <c r="K2" s="97">
        <v>8</v>
      </c>
      <c r="L2" s="97">
        <v>9</v>
      </c>
      <c r="M2" s="97">
        <v>10</v>
      </c>
      <c r="N2" s="97"/>
    </row>
    <row r="4" spans="1:18" ht="13" x14ac:dyDescent="0.15">
      <c r="B4" s="102" t="s">
        <v>96</v>
      </c>
      <c r="C4" s="103"/>
      <c r="D4" s="83">
        <v>5.8400000000000001E-2</v>
      </c>
      <c r="E4" s="83">
        <v>6.8400000000000002E-2</v>
      </c>
      <c r="F4" s="83">
        <v>6.5799999999999997E-2</v>
      </c>
      <c r="G4" s="83">
        <v>6.3700000000000007E-2</v>
      </c>
      <c r="H4" s="83">
        <v>6.1749999999999985E-2</v>
      </c>
      <c r="I4" s="83">
        <v>5.8499999999999996E-2</v>
      </c>
      <c r="J4" s="83">
        <v>5.8150000000000007E-2</v>
      </c>
      <c r="K4" s="83">
        <v>5.8800000000000005E-2</v>
      </c>
      <c r="L4" s="83">
        <v>5.8600000000000013E-2</v>
      </c>
      <c r="M4" s="83">
        <v>5.8499999999999996E-2</v>
      </c>
    </row>
    <row r="5" spans="1:18" ht="13" x14ac:dyDescent="0.15">
      <c r="B5" s="100" t="s">
        <v>262</v>
      </c>
      <c r="C5" s="101"/>
      <c r="D5" s="85">
        <v>0.35</v>
      </c>
      <c r="E5" s="85">
        <v>0.35</v>
      </c>
      <c r="F5" s="85">
        <v>0.35</v>
      </c>
      <c r="G5" s="85">
        <v>0.35</v>
      </c>
      <c r="H5" s="85">
        <v>0.35</v>
      </c>
      <c r="I5" s="85">
        <v>0.35</v>
      </c>
      <c r="J5" s="85">
        <v>0.35</v>
      </c>
      <c r="K5" s="85">
        <v>0.35</v>
      </c>
      <c r="L5" s="85">
        <v>0.35</v>
      </c>
      <c r="M5" s="85">
        <v>0.35</v>
      </c>
    </row>
    <row r="7" spans="1:18" x14ac:dyDescent="0.15">
      <c r="A7" s="82">
        <f>2000000-(0.03*2000000)</f>
        <v>1940000</v>
      </c>
    </row>
    <row r="8" spans="1:18" ht="13" x14ac:dyDescent="0.15">
      <c r="B8" s="96" t="s">
        <v>263</v>
      </c>
      <c r="D8" s="86">
        <f>6500000</f>
        <v>6500000</v>
      </c>
      <c r="E8" s="86">
        <f>D8*(1+D4)*(1+Datos!$C$31)</f>
        <v>7292376</v>
      </c>
      <c r="F8" s="86">
        <f>E8*(1+E4)*(1+Datos!$C$31)</f>
        <v>8258644.9895040011</v>
      </c>
      <c r="G8" s="86">
        <f>F8*(1+F4)*(1+Datos!$C$31)</f>
        <v>9330187.6596021671</v>
      </c>
      <c r="H8" s="86">
        <f>G8*(1+G4)*(1+Datos!$C$31)</f>
        <v>10519991.850329956</v>
      </c>
      <c r="I8" s="86">
        <f>H8*(1+H4)*(1+Datos!$C$31)</f>
        <v>11839777.427913101</v>
      </c>
      <c r="J8" s="86">
        <f>I8*(1+I4)*(1+Datos!$C$31)</f>
        <v>13284348.671892779</v>
      </c>
      <c r="K8" s="86">
        <f>J8*(1+J4)*(1+Datos!$C$31)</f>
        <v>14900243.559993144</v>
      </c>
      <c r="L8" s="86">
        <f>K8*(1+K4)*(1+Datos!$C$31)</f>
        <v>16722960.554199986</v>
      </c>
      <c r="M8" s="86">
        <f>L8*(1+L4)*(1+Datos!$C$31)</f>
        <v>18765101.605236672</v>
      </c>
    </row>
    <row r="9" spans="1:18" ht="13" x14ac:dyDescent="0.15">
      <c r="A9" s="90">
        <f>(2000000-D9)/2000000</f>
        <v>7.4999999999999997E-2</v>
      </c>
      <c r="B9" s="96" t="s">
        <v>264</v>
      </c>
      <c r="C9" s="109"/>
      <c r="D9" s="86">
        <f>Datos!C22</f>
        <v>1850000</v>
      </c>
      <c r="E9" s="86">
        <f>D9*(1+D4)*(1+Datos!$C$23)</f>
        <v>1997200.8</v>
      </c>
      <c r="F9" s="86">
        <f>E9*(1+E4)*(1+Datos!$C$23)</f>
        <v>2176485.5214144001</v>
      </c>
      <c r="G9" s="86">
        <f>F9*(1+F4)*(1+Datos!$C$23)</f>
        <v>2366092.2340979371</v>
      </c>
      <c r="H9" s="86">
        <f>G9*(1+G4)*(1+Datos!$C$23)</f>
        <v>2567148.5555981756</v>
      </c>
      <c r="I9" s="86">
        <f>H9*(1+H4)*(1+Datos!$C$23)</f>
        <v>2780183.3784844899</v>
      </c>
      <c r="J9" s="86">
        <f>I9*(1+I4)*(1+Datos!$C$23)</f>
        <v>3001680.5882483493</v>
      </c>
      <c r="K9" s="86">
        <f>J9*(1+J4)*(1+Datos!$C$23)</f>
        <v>3239752.8807440903</v>
      </c>
      <c r="L9" s="86">
        <f>K9*(1+K4)*(1+Datos!$C$23)</f>
        <v>3498855.3571344796</v>
      </c>
      <c r="M9" s="86">
        <f>L9*(1+L4)*(1+Datos!$C$23)</f>
        <v>3777966.0466838116</v>
      </c>
    </row>
    <row r="10" spans="1:18" ht="13" x14ac:dyDescent="0.15">
      <c r="A10" s="82" t="s">
        <v>265</v>
      </c>
      <c r="B10" s="100" t="s">
        <v>266</v>
      </c>
      <c r="C10" s="110"/>
      <c r="D10" s="87">
        <v>1500</v>
      </c>
      <c r="E10" s="87">
        <v>4650</v>
      </c>
      <c r="F10" s="87">
        <v>4650</v>
      </c>
      <c r="G10" s="87">
        <v>4650</v>
      </c>
      <c r="H10" s="87">
        <v>4650</v>
      </c>
      <c r="I10" s="87">
        <v>4650</v>
      </c>
      <c r="J10" s="87">
        <v>4650</v>
      </c>
      <c r="K10" s="87">
        <v>4650</v>
      </c>
      <c r="L10" s="87">
        <v>4650</v>
      </c>
      <c r="M10" s="87">
        <v>4650</v>
      </c>
      <c r="N10" s="135">
        <f>SUM(D10:M10)</f>
        <v>43350</v>
      </c>
      <c r="O10" s="82">
        <f>N10/N11</f>
        <v>0.93225806451612903</v>
      </c>
    </row>
    <row r="11" spans="1:18" x14ac:dyDescent="0.15">
      <c r="D11" s="104">
        <v>1000</v>
      </c>
      <c r="E11" s="104">
        <v>1000</v>
      </c>
      <c r="F11" s="104">
        <v>1000</v>
      </c>
      <c r="G11" s="104">
        <v>1500</v>
      </c>
      <c r="H11" s="104">
        <v>1500</v>
      </c>
      <c r="I11" s="104">
        <v>1500</v>
      </c>
      <c r="J11" s="104">
        <v>2500</v>
      </c>
      <c r="K11" s="104">
        <v>2500</v>
      </c>
      <c r="L11" s="104">
        <v>2500</v>
      </c>
      <c r="M11" s="104">
        <v>2500</v>
      </c>
      <c r="N11" s="135">
        <v>46500</v>
      </c>
      <c r="O11" s="82">
        <f>N11*0.9</f>
        <v>41850</v>
      </c>
      <c r="P11" s="82">
        <f>O11/9</f>
        <v>4650</v>
      </c>
    </row>
    <row r="12" spans="1:18" x14ac:dyDescent="0.15"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35">
        <f>SUM(D11:M11)</f>
        <v>17500</v>
      </c>
      <c r="O12" s="84">
        <f>N12/N11</f>
        <v>0.37634408602150538</v>
      </c>
    </row>
    <row r="13" spans="1:18" x14ac:dyDescent="0.15"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2">
        <f>N11*0.8</f>
        <v>37200</v>
      </c>
      <c r="O13" s="82">
        <f>(N13-1000)/9</f>
        <v>4022.2222222222222</v>
      </c>
      <c r="Q13" s="135">
        <f>SUM(D10:M10)</f>
        <v>43350</v>
      </c>
      <c r="R13" s="82">
        <f>Q13/N11</f>
        <v>0.93225806451612903</v>
      </c>
    </row>
    <row r="14" spans="1:18" ht="13" x14ac:dyDescent="0.15">
      <c r="B14" s="105" t="s">
        <v>267</v>
      </c>
      <c r="C14" s="106" t="s">
        <v>261</v>
      </c>
      <c r="D14" s="106" t="s">
        <v>85</v>
      </c>
      <c r="E14" s="106" t="s">
        <v>86</v>
      </c>
      <c r="F14" s="106" t="s">
        <v>87</v>
      </c>
      <c r="G14" s="106" t="s">
        <v>88</v>
      </c>
      <c r="H14" s="106" t="s">
        <v>89</v>
      </c>
      <c r="I14" s="106" t="s">
        <v>90</v>
      </c>
      <c r="J14" s="106" t="s">
        <v>91</v>
      </c>
      <c r="K14" s="106" t="s">
        <v>92</v>
      </c>
      <c r="L14" s="106" t="s">
        <v>93</v>
      </c>
      <c r="M14" s="106" t="s">
        <v>94</v>
      </c>
      <c r="N14" s="106" t="s">
        <v>268</v>
      </c>
    </row>
    <row r="15" spans="1:18" ht="13" x14ac:dyDescent="0.15">
      <c r="A15" s="84">
        <f>D15/$D$15</f>
        <v>1</v>
      </c>
      <c r="B15" s="96" t="s">
        <v>269</v>
      </c>
      <c r="D15" s="86">
        <f>D8*D10</f>
        <v>9750000000</v>
      </c>
      <c r="E15" s="86">
        <f t="shared" ref="E15:M15" si="0">E8*E10</f>
        <v>33909548400</v>
      </c>
      <c r="F15" s="86">
        <f t="shared" si="0"/>
        <v>38402699201.193604</v>
      </c>
      <c r="G15" s="86">
        <f t="shared" si="0"/>
        <v>43385372617.150078</v>
      </c>
      <c r="H15" s="86">
        <f t="shared" si="0"/>
        <v>48917962104.034294</v>
      </c>
      <c r="I15" s="86">
        <f t="shared" si="0"/>
        <v>55054965039.795921</v>
      </c>
      <c r="J15" s="86">
        <f t="shared" si="0"/>
        <v>61772221324.301422</v>
      </c>
      <c r="K15" s="86">
        <f t="shared" si="0"/>
        <v>69286132553.968124</v>
      </c>
      <c r="L15" s="86">
        <f t="shared" si="0"/>
        <v>77761766577.029938</v>
      </c>
      <c r="M15" s="86">
        <f t="shared" si="0"/>
        <v>87257722464.350525</v>
      </c>
    </row>
    <row r="16" spans="1:18" ht="13" x14ac:dyDescent="0.15">
      <c r="A16" s="84">
        <f t="shared" ref="A16:A37" si="1">D16/$D$15</f>
        <v>0.2846153846153846</v>
      </c>
      <c r="B16" s="96" t="s">
        <v>270</v>
      </c>
      <c r="D16" s="86">
        <f>D9*D10</f>
        <v>2775000000</v>
      </c>
      <c r="E16" s="86">
        <f t="shared" ref="E16:M16" si="2">E9*E10</f>
        <v>9286983720</v>
      </c>
      <c r="F16" s="86">
        <f t="shared" si="2"/>
        <v>10120657674.57696</v>
      </c>
      <c r="G16" s="86">
        <f t="shared" si="2"/>
        <v>11002328888.555408</v>
      </c>
      <c r="H16" s="86">
        <f t="shared" si="2"/>
        <v>11937240783.531517</v>
      </c>
      <c r="I16" s="86">
        <f t="shared" si="2"/>
        <v>12927852709.952877</v>
      </c>
      <c r="J16" s="86">
        <f t="shared" si="2"/>
        <v>13957814735.354824</v>
      </c>
      <c r="K16" s="86">
        <f t="shared" si="2"/>
        <v>15064850895.46002</v>
      </c>
      <c r="L16" s="86">
        <f t="shared" si="2"/>
        <v>16269677410.675329</v>
      </c>
      <c r="M16" s="86">
        <f t="shared" si="2"/>
        <v>17567542117.079723</v>
      </c>
    </row>
    <row r="17" spans="1:13" ht="13" x14ac:dyDescent="0.15">
      <c r="A17" s="84">
        <f>D17/D15</f>
        <v>5.2307692307692305E-2</v>
      </c>
      <c r="B17" s="96" t="s">
        <v>271</v>
      </c>
      <c r="D17" s="86">
        <f>Nómina!H3</f>
        <v>510000000</v>
      </c>
      <c r="E17" s="86">
        <f>D17*(1+D4)</f>
        <v>539784000</v>
      </c>
      <c r="F17" s="86">
        <f t="shared" ref="F17:M17" si="3">E17*(1+E4)</f>
        <v>576705225.60000002</v>
      </c>
      <c r="G17" s="86">
        <f t="shared" si="3"/>
        <v>614652429.44448006</v>
      </c>
      <c r="H17" s="86">
        <f t="shared" si="3"/>
        <v>653805789.20009351</v>
      </c>
      <c r="I17" s="86">
        <f t="shared" si="3"/>
        <v>694178296.68319929</v>
      </c>
      <c r="J17" s="86">
        <f t="shared" si="3"/>
        <v>734787727.03916645</v>
      </c>
      <c r="K17" s="86">
        <f t="shared" si="3"/>
        <v>777515633.36649394</v>
      </c>
      <c r="L17" s="86">
        <f t="shared" si="3"/>
        <v>823233552.60844374</v>
      </c>
      <c r="M17" s="86">
        <f t="shared" si="3"/>
        <v>871475038.79129851</v>
      </c>
    </row>
    <row r="18" spans="1:13" ht="13" x14ac:dyDescent="0.15">
      <c r="A18" s="124">
        <f>D18/D15</f>
        <v>5.5E-2</v>
      </c>
      <c r="B18" s="96" t="s">
        <v>272</v>
      </c>
      <c r="D18" s="86">
        <f>D15*Datos!$C$21</f>
        <v>536250000</v>
      </c>
      <c r="E18" s="86">
        <f>E15*Datos!$C$21</f>
        <v>1865025162</v>
      </c>
      <c r="F18" s="86">
        <f>F15*Datos!$C$21</f>
        <v>2112148456.0656483</v>
      </c>
      <c r="G18" s="86">
        <f>G15*Datos!$C$21</f>
        <v>2386195493.9432545</v>
      </c>
      <c r="H18" s="86">
        <f>H15*Datos!$C$21</f>
        <v>2690487915.7218862</v>
      </c>
      <c r="I18" s="86">
        <f>I15*Datos!$C$21</f>
        <v>3028023077.1887755</v>
      </c>
      <c r="J18" s="86">
        <f>J15*Datos!$C$21</f>
        <v>3397472172.8365784</v>
      </c>
      <c r="K18" s="86">
        <f>K15*Datos!$C$21</f>
        <v>3810737290.4682469</v>
      </c>
      <c r="L18" s="86">
        <f>L15*Datos!$C$21</f>
        <v>4276897161.7366467</v>
      </c>
      <c r="M18" s="86">
        <f>M15*Datos!$C$21</f>
        <v>4799174735.539279</v>
      </c>
    </row>
    <row r="19" spans="1:13" ht="13" x14ac:dyDescent="0.15">
      <c r="A19" s="84">
        <f t="shared" si="1"/>
        <v>0.60807692307692307</v>
      </c>
      <c r="B19" s="98" t="s">
        <v>273</v>
      </c>
      <c r="C19" s="81"/>
      <c r="D19" s="94">
        <f>D15-D16-D17-D18</f>
        <v>5928750000</v>
      </c>
      <c r="E19" s="94">
        <f t="shared" ref="E19:M19" si="4">E15-E16-E17-E18</f>
        <v>22217755518</v>
      </c>
      <c r="F19" s="94">
        <f t="shared" si="4"/>
        <v>25593187844.951</v>
      </c>
      <c r="G19" s="94">
        <f t="shared" si="4"/>
        <v>29382195805.206932</v>
      </c>
      <c r="H19" s="94">
        <f t="shared" si="4"/>
        <v>33636427615.580795</v>
      </c>
      <c r="I19" s="94">
        <f t="shared" si="4"/>
        <v>38404910955.971077</v>
      </c>
      <c r="J19" s="94">
        <f t="shared" si="4"/>
        <v>43682146689.070847</v>
      </c>
      <c r="K19" s="94">
        <f t="shared" si="4"/>
        <v>49633028734.673363</v>
      </c>
      <c r="L19" s="94">
        <f t="shared" si="4"/>
        <v>56391958452.009514</v>
      </c>
      <c r="M19" s="94">
        <f t="shared" si="4"/>
        <v>64019530572.940216</v>
      </c>
    </row>
    <row r="20" spans="1:13" ht="13" x14ac:dyDescent="0.15">
      <c r="A20" s="84">
        <f t="shared" si="1"/>
        <v>0.13415384615384615</v>
      </c>
      <c r="B20" s="96" t="s">
        <v>274</v>
      </c>
      <c r="D20" s="86">
        <f>Nómina!H4</f>
        <v>1308000000</v>
      </c>
      <c r="E20" s="86">
        <f>D20*(1+D4)</f>
        <v>1384387200</v>
      </c>
      <c r="F20" s="86">
        <f t="shared" ref="F20:L20" si="5">E20*(1+E4)</f>
        <v>1479079284.48</v>
      </c>
      <c r="G20" s="86">
        <f t="shared" si="5"/>
        <v>1576402701.3987842</v>
      </c>
      <c r="H20" s="86">
        <f t="shared" si="5"/>
        <v>1676819553.4778869</v>
      </c>
      <c r="I20" s="86">
        <f t="shared" si="5"/>
        <v>1780363160.9051464</v>
      </c>
      <c r="J20" s="86">
        <f t="shared" si="5"/>
        <v>1884514405.8180974</v>
      </c>
      <c r="K20" s="86">
        <f t="shared" si="5"/>
        <v>1994098918.5164196</v>
      </c>
      <c r="L20" s="86">
        <f t="shared" si="5"/>
        <v>2111351934.925185</v>
      </c>
      <c r="M20" s="86">
        <f>L20*(1+L4)</f>
        <v>2235077158.311801</v>
      </c>
    </row>
    <row r="21" spans="1:13" ht="13" x14ac:dyDescent="0.15">
      <c r="A21" s="84">
        <f t="shared" si="1"/>
        <v>0.25</v>
      </c>
      <c r="B21" s="96" t="s">
        <v>275</v>
      </c>
      <c r="D21" s="86">
        <f>D15*Datos!$C$26</f>
        <v>2437500000</v>
      </c>
      <c r="E21" s="86">
        <f>E15*Datos!$C$26</f>
        <v>8477387100</v>
      </c>
      <c r="F21" s="86">
        <f>F15*Datos!$C$26</f>
        <v>9600674800.2984009</v>
      </c>
      <c r="G21" s="86">
        <f>G15*Datos!$C$26</f>
        <v>10846343154.287519</v>
      </c>
      <c r="H21" s="86">
        <f>H15*Datos!$C$26</f>
        <v>12229490526.008574</v>
      </c>
      <c r="I21" s="86">
        <f>I15*Datos!$C$26</f>
        <v>13763741259.94898</v>
      </c>
      <c r="J21" s="86">
        <f>J15*Datos!$C$26</f>
        <v>15443055331.075356</v>
      </c>
      <c r="K21" s="86">
        <f>K15*Datos!$C$26</f>
        <v>17321533138.492031</v>
      </c>
      <c r="L21" s="86">
        <f>L15*Datos!$C$26</f>
        <v>19440441644.257484</v>
      </c>
      <c r="M21" s="86">
        <f>M15*Datos!$C$26</f>
        <v>21814430616.087631</v>
      </c>
    </row>
    <row r="22" spans="1:13" ht="13" x14ac:dyDescent="0.15">
      <c r="A22" s="84">
        <f t="shared" si="1"/>
        <v>8.2030769230769227E-2</v>
      </c>
      <c r="B22" s="96" t="s">
        <v>276</v>
      </c>
      <c r="D22" s="86" cm="1">
        <f t="array" ref="D22:M22">Depreciaciones!B7:K7</f>
        <v>799800000</v>
      </c>
      <c r="E22" s="86">
        <v>799800000</v>
      </c>
      <c r="F22" s="86">
        <v>799800000</v>
      </c>
      <c r="G22" s="86">
        <v>799800000</v>
      </c>
      <c r="H22" s="86">
        <v>799800000</v>
      </c>
      <c r="I22" s="86">
        <v>799800000</v>
      </c>
      <c r="J22" s="86">
        <v>799800000</v>
      </c>
      <c r="K22" s="86">
        <v>799800000</v>
      </c>
      <c r="L22" s="86">
        <v>799800000</v>
      </c>
      <c r="M22" s="86">
        <v>799800000</v>
      </c>
    </row>
    <row r="23" spans="1:13" ht="13" x14ac:dyDescent="0.15">
      <c r="A23" s="84">
        <f t="shared" si="1"/>
        <v>0</v>
      </c>
      <c r="B23" s="96" t="s">
        <v>119</v>
      </c>
      <c r="D23" s="86">
        <f>0</f>
        <v>0</v>
      </c>
      <c r="E23" s="86">
        <f>0</f>
        <v>0</v>
      </c>
      <c r="F23" s="86">
        <f>0</f>
        <v>0</v>
      </c>
      <c r="G23" s="86">
        <f>0</f>
        <v>0</v>
      </c>
      <c r="H23" s="86">
        <f>0</f>
        <v>0</v>
      </c>
      <c r="I23" s="86">
        <f>0</f>
        <v>0</v>
      </c>
      <c r="J23" s="86">
        <f>0</f>
        <v>0</v>
      </c>
      <c r="K23" s="86">
        <f>0</f>
        <v>0</v>
      </c>
      <c r="L23" s="86">
        <f>0</f>
        <v>0</v>
      </c>
      <c r="M23" s="86">
        <f>0</f>
        <v>0</v>
      </c>
    </row>
    <row r="24" spans="1:13" ht="13" x14ac:dyDescent="0.15">
      <c r="A24" s="84">
        <f>D24/$D$15</f>
        <v>0.01</v>
      </c>
      <c r="B24" s="96" t="s">
        <v>44</v>
      </c>
      <c r="D24" s="86">
        <f>D15*Datos!$C$27</f>
        <v>97500000</v>
      </c>
      <c r="E24" s="86">
        <f>E15*Datos!$C$27</f>
        <v>339095484</v>
      </c>
      <c r="F24" s="86">
        <f>F15*Datos!$C$27</f>
        <v>384026992.01193607</v>
      </c>
      <c r="G24" s="86">
        <f>G15*Datos!$C$27</f>
        <v>433853726.1715008</v>
      </c>
      <c r="H24" s="86">
        <f>H15*Datos!$C$27</f>
        <v>489179621.04034293</v>
      </c>
      <c r="I24" s="86">
        <f>I15*Datos!$C$27</f>
        <v>550549650.39795923</v>
      </c>
      <c r="J24" s="86">
        <f>J15*Datos!$C$27</f>
        <v>617722213.24301422</v>
      </c>
      <c r="K24" s="86">
        <f>K15*Datos!$C$27</f>
        <v>692861325.53968132</v>
      </c>
      <c r="L24" s="86">
        <f>L15*Datos!$C$27</f>
        <v>777617665.77029943</v>
      </c>
      <c r="M24" s="86">
        <f>M15*Datos!$C$27</f>
        <v>872577224.64350522</v>
      </c>
    </row>
    <row r="25" spans="1:13" ht="13" x14ac:dyDescent="0.15">
      <c r="A25" s="84">
        <f>D25/$D$15</f>
        <v>2.8717948717948718E-2</v>
      </c>
      <c r="B25" s="96" t="s">
        <v>277</v>
      </c>
      <c r="D25" s="86" cm="1">
        <f t="array" ref="D25:M25">'Amortización gasto seguro'!B4:K4</f>
        <v>280000000</v>
      </c>
      <c r="E25" s="86">
        <v>280000000</v>
      </c>
      <c r="F25" s="86">
        <v>280000000</v>
      </c>
      <c r="G25" s="86">
        <v>280000000</v>
      </c>
      <c r="H25" s="86">
        <v>280000000</v>
      </c>
      <c r="I25" s="86">
        <v>280000000</v>
      </c>
      <c r="J25" s="86">
        <v>280000000</v>
      </c>
      <c r="K25" s="86">
        <v>280000000</v>
      </c>
      <c r="L25" s="86">
        <v>280000000</v>
      </c>
      <c r="M25" s="86">
        <v>280000000</v>
      </c>
    </row>
    <row r="26" spans="1:13" ht="13" x14ac:dyDescent="0.15">
      <c r="A26" s="84">
        <f t="shared" si="1"/>
        <v>0.10317435897435898</v>
      </c>
      <c r="B26" s="98" t="s">
        <v>278</v>
      </c>
      <c r="C26" s="81"/>
      <c r="D26" s="94">
        <f>D19-D20-D21-D22-D23-D24-D25</f>
        <v>1005950000</v>
      </c>
      <c r="E26" s="94">
        <f t="shared" ref="E26:M26" si="6">E19-E20-E21-E22-E23-E24</f>
        <v>11217085734</v>
      </c>
      <c r="F26" s="94">
        <f t="shared" si="6"/>
        <v>13329606768.160664</v>
      </c>
      <c r="G26" s="94">
        <f t="shared" si="6"/>
        <v>15725796223.349127</v>
      </c>
      <c r="H26" s="94">
        <f t="shared" si="6"/>
        <v>18441137915.053993</v>
      </c>
      <c r="I26" s="94">
        <f t="shared" si="6"/>
        <v>21510456884.71899</v>
      </c>
      <c r="J26" s="94">
        <f t="shared" si="6"/>
        <v>24937054738.934376</v>
      </c>
      <c r="K26" s="94">
        <f t="shared" si="6"/>
        <v>28824735352.125233</v>
      </c>
      <c r="L26" s="94">
        <f t="shared" si="6"/>
        <v>33262747207.056545</v>
      </c>
      <c r="M26" s="94">
        <f t="shared" si="6"/>
        <v>38297645573.897278</v>
      </c>
    </row>
    <row r="27" spans="1:13" ht="13" x14ac:dyDescent="0.15">
      <c r="A27" s="84">
        <f t="shared" ca="1" si="1"/>
        <v>0.18712397773747053</v>
      </c>
      <c r="B27" s="96" t="s">
        <v>279</v>
      </c>
      <c r="D27" s="86" cm="1">
        <f t="array" aca="1" ref="D27:M27" ca="1">TRANSPOSE(Bonos!G27:G36)*1000000</f>
        <v>1824458782.9403377</v>
      </c>
      <c r="E27" s="86">
        <f ca="1"/>
        <v>1829655548.7781789</v>
      </c>
      <c r="F27" s="86">
        <f ca="1"/>
        <v>1824458782.9403377</v>
      </c>
      <c r="G27" s="86">
        <f ca="1"/>
        <v>1824458782.9403377</v>
      </c>
      <c r="H27" s="86">
        <f ca="1"/>
        <v>1824458782.9403377</v>
      </c>
      <c r="I27" s="86">
        <f ca="1"/>
        <v>1829655548.7781789</v>
      </c>
      <c r="J27" s="86">
        <f ca="1"/>
        <v>1824458782.9403377</v>
      </c>
      <c r="K27" s="86">
        <f ca="1"/>
        <v>1824458782.9403377</v>
      </c>
      <c r="L27" s="86">
        <f ca="1"/>
        <v>1824458782.9403377</v>
      </c>
      <c r="M27" s="86">
        <f ca="1"/>
        <v>1829655548.7781789</v>
      </c>
    </row>
    <row r="28" spans="1:13" ht="13" x14ac:dyDescent="0.15">
      <c r="A28" s="84">
        <f t="shared" ca="1" si="1"/>
        <v>-8.394961876311155E-2</v>
      </c>
      <c r="B28" s="98" t="s">
        <v>280</v>
      </c>
      <c r="C28" s="81"/>
      <c r="D28" s="94">
        <f ca="1">D26-D27</f>
        <v>-818508782.94033766</v>
      </c>
      <c r="E28" s="94">
        <f t="shared" ref="E28:M28" ca="1" si="7">E26-E27</f>
        <v>9387430185.2218208</v>
      </c>
      <c r="F28" s="94">
        <f t="shared" ca="1" si="7"/>
        <v>11505147985.220325</v>
      </c>
      <c r="G28" s="94">
        <f t="shared" ca="1" si="7"/>
        <v>13901337440.408789</v>
      </c>
      <c r="H28" s="94">
        <f t="shared" ca="1" si="7"/>
        <v>16616679132.113655</v>
      </c>
      <c r="I28" s="94">
        <f t="shared" ca="1" si="7"/>
        <v>19680801335.940811</v>
      </c>
      <c r="J28" s="94">
        <f t="shared" ca="1" si="7"/>
        <v>23112595955.994038</v>
      </c>
      <c r="K28" s="94">
        <f t="shared" ca="1" si="7"/>
        <v>27000276569.184895</v>
      </c>
      <c r="L28" s="94">
        <f t="shared" ca="1" si="7"/>
        <v>31438288424.116207</v>
      </c>
      <c r="M28" s="94">
        <f t="shared" ca="1" si="7"/>
        <v>36467990025.119102</v>
      </c>
    </row>
    <row r="29" spans="1:13" ht="13" x14ac:dyDescent="0.15">
      <c r="A29" s="84">
        <f t="shared" ca="1" si="1"/>
        <v>0</v>
      </c>
      <c r="B29" s="96" t="s">
        <v>281</v>
      </c>
      <c r="D29" s="86">
        <f t="shared" ref="D29:M29" ca="1" si="8">IF(D28&lt;0,0,D28*D5)</f>
        <v>0</v>
      </c>
      <c r="E29" s="86">
        <f t="shared" ca="1" si="8"/>
        <v>3285600564.8276372</v>
      </c>
      <c r="F29" s="86">
        <f t="shared" ca="1" si="8"/>
        <v>4026801794.8271136</v>
      </c>
      <c r="G29" s="86">
        <f t="shared" ca="1" si="8"/>
        <v>4865468104.1430759</v>
      </c>
      <c r="H29" s="86">
        <f t="shared" ca="1" si="8"/>
        <v>5815837696.2397785</v>
      </c>
      <c r="I29" s="86">
        <f t="shared" ca="1" si="8"/>
        <v>6888280467.5792837</v>
      </c>
      <c r="J29" s="86">
        <f t="shared" ca="1" si="8"/>
        <v>8089408584.5979128</v>
      </c>
      <c r="K29" s="86">
        <f t="shared" ca="1" si="8"/>
        <v>9450096799.2147121</v>
      </c>
      <c r="L29" s="86">
        <f t="shared" ca="1" si="8"/>
        <v>11003400948.440672</v>
      </c>
      <c r="M29" s="86">
        <f t="shared" ca="1" si="8"/>
        <v>12763796508.791685</v>
      </c>
    </row>
    <row r="30" spans="1:13" ht="13" x14ac:dyDescent="0.15">
      <c r="A30" s="84">
        <f t="shared" ca="1" si="1"/>
        <v>-8.394961876311155E-2</v>
      </c>
      <c r="B30" s="98" t="s">
        <v>282</v>
      </c>
      <c r="C30" s="81"/>
      <c r="D30" s="94">
        <f ca="1">D28-D29</f>
        <v>-818508782.94033766</v>
      </c>
      <c r="E30" s="94">
        <f t="shared" ref="E30:M30" ca="1" si="9">E28-E29</f>
        <v>6101829620.3941841</v>
      </c>
      <c r="F30" s="94">
        <f t="shared" ca="1" si="9"/>
        <v>7478346190.3932114</v>
      </c>
      <c r="G30" s="94">
        <f t="shared" ca="1" si="9"/>
        <v>9035869336.2657127</v>
      </c>
      <c r="H30" s="94">
        <f t="shared" ca="1" si="9"/>
        <v>10800841435.873877</v>
      </c>
      <c r="I30" s="94">
        <f t="shared" ca="1" si="9"/>
        <v>12792520868.361526</v>
      </c>
      <c r="J30" s="94">
        <f t="shared" ca="1" si="9"/>
        <v>15023187371.396126</v>
      </c>
      <c r="K30" s="94">
        <f t="shared" ca="1" si="9"/>
        <v>17550179769.970184</v>
      </c>
      <c r="L30" s="94">
        <f t="shared" ca="1" si="9"/>
        <v>20434887475.675537</v>
      </c>
      <c r="M30" s="94">
        <f t="shared" ca="1" si="9"/>
        <v>23704193516.327415</v>
      </c>
    </row>
    <row r="31" spans="1:13" x14ac:dyDescent="0.15">
      <c r="A31" s="84"/>
      <c r="D31" s="86"/>
      <c r="E31" s="86"/>
      <c r="F31" s="86"/>
      <c r="G31" s="86"/>
      <c r="H31" s="86"/>
      <c r="I31" s="86"/>
      <c r="J31" s="86"/>
      <c r="K31" s="86"/>
      <c r="L31" s="86"/>
      <c r="M31" s="86"/>
    </row>
    <row r="32" spans="1:13" ht="13" x14ac:dyDescent="0.15">
      <c r="A32" s="84"/>
      <c r="B32" s="98" t="s">
        <v>283</v>
      </c>
      <c r="C32" s="81"/>
      <c r="D32" s="94">
        <f t="shared" ref="D32:M32" si="10">D26+D22+D23</f>
        <v>1805750000</v>
      </c>
      <c r="E32" s="94">
        <f t="shared" si="10"/>
        <v>12016885734</v>
      </c>
      <c r="F32" s="94">
        <f t="shared" si="10"/>
        <v>14129406768.160664</v>
      </c>
      <c r="G32" s="94">
        <f t="shared" si="10"/>
        <v>16525596223.349127</v>
      </c>
      <c r="H32" s="94">
        <f t="shared" si="10"/>
        <v>19240937915.053993</v>
      </c>
      <c r="I32" s="94">
        <f t="shared" si="10"/>
        <v>22310256884.71899</v>
      </c>
      <c r="J32" s="94">
        <f t="shared" si="10"/>
        <v>25736854738.934376</v>
      </c>
      <c r="K32" s="94">
        <f t="shared" si="10"/>
        <v>29624535352.125233</v>
      </c>
      <c r="L32" s="94">
        <f t="shared" si="10"/>
        <v>34062547207.056545</v>
      </c>
      <c r="M32" s="94">
        <f t="shared" si="10"/>
        <v>39097445573.897278</v>
      </c>
    </row>
    <row r="33" spans="1:16" x14ac:dyDescent="0.15">
      <c r="A33" s="84"/>
      <c r="D33" s="111"/>
    </row>
    <row r="34" spans="1:16" ht="13" x14ac:dyDescent="0.15">
      <c r="A34" s="84">
        <f t="shared" si="1"/>
        <v>0.125</v>
      </c>
      <c r="B34" s="96" t="s">
        <v>284</v>
      </c>
      <c r="D34" s="86">
        <f>(Datos!$C$28/360)*'Estado de resultados'!D15</f>
        <v>1218750000</v>
      </c>
      <c r="E34" s="86">
        <f>(Datos!$C$28/360)*'Estado de resultados'!E15</f>
        <v>4238693550</v>
      </c>
      <c r="F34" s="86">
        <f>(Datos!$C$28/360)*'Estado de resultados'!F15</f>
        <v>4800337400.1492004</v>
      </c>
      <c r="G34" s="86">
        <f>(Datos!$C$28/360)*'Estado de resultados'!G15</f>
        <v>5423171577.1437597</v>
      </c>
      <c r="H34" s="86">
        <f>(Datos!$C$28/360)*'Estado de resultados'!H15</f>
        <v>6114745263.0042868</v>
      </c>
      <c r="I34" s="86">
        <f>(Datos!$C$28/360)*'Estado de resultados'!I15</f>
        <v>6881870629.9744902</v>
      </c>
      <c r="J34" s="86">
        <f>(Datos!$C$28/360)*'Estado de resultados'!J15</f>
        <v>7721527665.5376778</v>
      </c>
      <c r="K34" s="86">
        <f>(Datos!$C$28/360)*'Estado de resultados'!K15</f>
        <v>8660766569.2460155</v>
      </c>
      <c r="L34" s="86">
        <f>(Datos!$C$28/360)*'Estado de resultados'!L15</f>
        <v>9720220822.1287422</v>
      </c>
      <c r="M34" s="86">
        <f>(Datos!$C$28/360)*'Estado de resultados'!M15</f>
        <v>10907215308.043816</v>
      </c>
    </row>
    <row r="35" spans="1:16" ht="13" x14ac:dyDescent="0.15">
      <c r="A35" s="84"/>
      <c r="B35" s="98" t="s">
        <v>285</v>
      </c>
      <c r="D35" s="86">
        <f>D34</f>
        <v>1218750000</v>
      </c>
      <c r="E35" s="86">
        <f t="shared" ref="E35:M35" si="11">E34</f>
        <v>4238693550</v>
      </c>
      <c r="F35" s="86">
        <f t="shared" si="11"/>
        <v>4800337400.1492004</v>
      </c>
      <c r="G35" s="86">
        <f t="shared" si="11"/>
        <v>5423171577.1437597</v>
      </c>
      <c r="H35" s="86">
        <f t="shared" si="11"/>
        <v>6114745263.0042868</v>
      </c>
      <c r="I35" s="86">
        <f t="shared" si="11"/>
        <v>6881870629.9744902</v>
      </c>
      <c r="J35" s="86">
        <f t="shared" si="11"/>
        <v>7721527665.5376778</v>
      </c>
      <c r="K35" s="86">
        <f t="shared" si="11"/>
        <v>8660766569.2460155</v>
      </c>
      <c r="L35" s="86">
        <f t="shared" si="11"/>
        <v>9720220822.1287422</v>
      </c>
      <c r="M35" s="86">
        <f t="shared" si="11"/>
        <v>10907215308.043816</v>
      </c>
    </row>
    <row r="36" spans="1:16" ht="13" x14ac:dyDescent="0.15">
      <c r="A36" s="84">
        <f t="shared" si="1"/>
        <v>0</v>
      </c>
      <c r="B36" s="96" t="s">
        <v>286</v>
      </c>
      <c r="D36" s="86">
        <f>(Datos!$C$29/360)*'Estado de resultados'!D16</f>
        <v>0</v>
      </c>
      <c r="E36" s="86">
        <f>(Datos!$C$29/360)*'Estado de resultados'!E16</f>
        <v>0</v>
      </c>
      <c r="F36" s="86">
        <f>(Datos!$C$29/360)*'Estado de resultados'!F16</f>
        <v>0</v>
      </c>
      <c r="G36" s="86">
        <f>(Datos!$C$29/360)*'Estado de resultados'!G16</f>
        <v>0</v>
      </c>
      <c r="H36" s="86">
        <f>(Datos!$C$29/360)*'Estado de resultados'!H16</f>
        <v>0</v>
      </c>
      <c r="I36" s="86">
        <f>(Datos!$C$29/360)*'Estado de resultados'!I16</f>
        <v>0</v>
      </c>
      <c r="J36" s="86">
        <f>(Datos!$C$29/360)*'Estado de resultados'!J16</f>
        <v>0</v>
      </c>
      <c r="K36" s="86">
        <f>(Datos!$C$29/360)*'Estado de resultados'!K16</f>
        <v>0</v>
      </c>
      <c r="L36" s="86">
        <f>(Datos!$C$29/360)*'Estado de resultados'!L16</f>
        <v>0</v>
      </c>
      <c r="M36" s="86">
        <f>(Datos!$C$29/360)*'Estado de resultados'!M16</f>
        <v>0</v>
      </c>
    </row>
    <row r="37" spans="1:16" ht="13" x14ac:dyDescent="0.15">
      <c r="A37" s="84">
        <f t="shared" ca="1" si="1"/>
        <v>0</v>
      </c>
      <c r="B37" s="96" t="s">
        <v>287</v>
      </c>
      <c r="D37" s="86">
        <f ca="1">D29</f>
        <v>0</v>
      </c>
      <c r="E37" s="86">
        <f t="shared" ref="E37:M37" ca="1" si="12">E29</f>
        <v>3285600564.8276372</v>
      </c>
      <c r="F37" s="86">
        <f t="shared" ca="1" si="12"/>
        <v>4026801794.8271136</v>
      </c>
      <c r="G37" s="86">
        <f t="shared" ca="1" si="12"/>
        <v>4865468104.1430759</v>
      </c>
      <c r="H37" s="86">
        <f t="shared" ca="1" si="12"/>
        <v>5815837696.2397785</v>
      </c>
      <c r="I37" s="86">
        <f t="shared" ca="1" si="12"/>
        <v>6888280467.5792837</v>
      </c>
      <c r="J37" s="86">
        <f t="shared" ca="1" si="12"/>
        <v>8089408584.5979128</v>
      </c>
      <c r="K37" s="86">
        <f t="shared" ca="1" si="12"/>
        <v>9450096799.2147121</v>
      </c>
      <c r="L37" s="86">
        <f t="shared" ca="1" si="12"/>
        <v>11003400948.440672</v>
      </c>
      <c r="M37" s="86">
        <f t="shared" ca="1" si="12"/>
        <v>12763796508.791685</v>
      </c>
    </row>
    <row r="38" spans="1:16" ht="13" x14ac:dyDescent="0.15">
      <c r="A38" s="84"/>
      <c r="B38" s="98" t="s">
        <v>288</v>
      </c>
      <c r="C38" s="81"/>
      <c r="D38" s="94">
        <f ca="1">D35-D36-D37</f>
        <v>1218750000</v>
      </c>
      <c r="E38" s="94">
        <f ca="1">E35-E36-E37</f>
        <v>953092985.1723628</v>
      </c>
      <c r="F38" s="94">
        <f t="shared" ref="F38:M38" ca="1" si="13">F35-F36-F37</f>
        <v>773535605.32208681</v>
      </c>
      <c r="G38" s="94">
        <f t="shared" ca="1" si="13"/>
        <v>557703473.00068378</v>
      </c>
      <c r="H38" s="94">
        <f t="shared" ca="1" si="13"/>
        <v>298907566.76450825</v>
      </c>
      <c r="I38" s="94">
        <f t="shared" ca="1" si="13"/>
        <v>-6409837.6047935486</v>
      </c>
      <c r="J38" s="94">
        <f t="shared" ca="1" si="13"/>
        <v>-367880919.06023502</v>
      </c>
      <c r="K38" s="94">
        <f t="shared" ca="1" si="13"/>
        <v>-789330229.96869659</v>
      </c>
      <c r="L38" s="94">
        <f t="shared" ca="1" si="13"/>
        <v>-1283180126.3119297</v>
      </c>
      <c r="M38" s="94">
        <f t="shared" ca="1" si="13"/>
        <v>-1856581200.7478695</v>
      </c>
      <c r="O38" s="82" t="s">
        <v>289</v>
      </c>
      <c r="P38" s="90">
        <v>0.3</v>
      </c>
    </row>
    <row r="39" spans="1:16" ht="13" x14ac:dyDescent="0.15">
      <c r="A39" s="84"/>
      <c r="B39" s="98" t="s">
        <v>290</v>
      </c>
      <c r="C39" s="81"/>
      <c r="D39" s="94">
        <f ca="1">D38</f>
        <v>1218750000</v>
      </c>
      <c r="E39" s="94">
        <f ca="1">E38-D38</f>
        <v>-265657014.8276372</v>
      </c>
      <c r="F39" s="94">
        <f t="shared" ref="F39:M39" ca="1" si="14">F38-E38</f>
        <v>-179557379.85027599</v>
      </c>
      <c r="G39" s="94">
        <f t="shared" ca="1" si="14"/>
        <v>-215832132.32140303</v>
      </c>
      <c r="H39" s="94">
        <f t="shared" ca="1" si="14"/>
        <v>-258795906.23617554</v>
      </c>
      <c r="I39" s="94">
        <f t="shared" ca="1" si="14"/>
        <v>-305317404.3693018</v>
      </c>
      <c r="J39" s="94">
        <f t="shared" ca="1" si="14"/>
        <v>-361471081.45544147</v>
      </c>
      <c r="K39" s="94">
        <f t="shared" ca="1" si="14"/>
        <v>-421449310.90846157</v>
      </c>
      <c r="L39" s="94">
        <f t="shared" ca="1" si="14"/>
        <v>-493849896.34323311</v>
      </c>
      <c r="M39" s="94">
        <f t="shared" ca="1" si="14"/>
        <v>-573401074.43593979</v>
      </c>
      <c r="O39" s="82" t="s">
        <v>291</v>
      </c>
      <c r="P39" s="90">
        <v>0.105</v>
      </c>
    </row>
    <row r="40" spans="1:16" x14ac:dyDescent="0.15">
      <c r="A40" s="84"/>
      <c r="D40" s="86"/>
      <c r="E40" s="86"/>
      <c r="F40" s="86"/>
      <c r="G40" s="86"/>
      <c r="H40" s="86"/>
      <c r="I40" s="86"/>
      <c r="J40" s="86"/>
      <c r="K40" s="86"/>
      <c r="L40" s="86"/>
      <c r="M40" s="86"/>
      <c r="O40" s="82" t="s">
        <v>292</v>
      </c>
      <c r="P40" s="90">
        <v>0.15</v>
      </c>
    </row>
    <row r="41" spans="1:16" ht="13" x14ac:dyDescent="0.15">
      <c r="A41" s="84"/>
      <c r="B41" s="96" t="s">
        <v>293</v>
      </c>
      <c r="C41" s="94">
        <f>Datos!C10*1000000</f>
        <v>14000000000</v>
      </c>
      <c r="D41" s="86">
        <f>C41</f>
        <v>14000000000</v>
      </c>
      <c r="E41" s="86">
        <f t="shared" ref="E41:M41" si="15">D41</f>
        <v>14000000000</v>
      </c>
      <c r="F41" s="86">
        <f t="shared" si="15"/>
        <v>14000000000</v>
      </c>
      <c r="G41" s="86">
        <f t="shared" si="15"/>
        <v>14000000000</v>
      </c>
      <c r="H41" s="86">
        <f t="shared" si="15"/>
        <v>14000000000</v>
      </c>
      <c r="I41" s="86">
        <f t="shared" si="15"/>
        <v>14000000000</v>
      </c>
      <c r="J41" s="86">
        <f t="shared" si="15"/>
        <v>14000000000</v>
      </c>
      <c r="K41" s="86">
        <f t="shared" si="15"/>
        <v>14000000000</v>
      </c>
      <c r="L41" s="86">
        <f t="shared" si="15"/>
        <v>14000000000</v>
      </c>
      <c r="M41" s="86">
        <f t="shared" si="15"/>
        <v>14000000000</v>
      </c>
    </row>
    <row r="42" spans="1:16" ht="13" x14ac:dyDescent="0.15">
      <c r="A42" s="84"/>
      <c r="B42" s="96" t="s">
        <v>294</v>
      </c>
      <c r="D42" s="86">
        <f t="shared" ref="D42:M42" si="16">D22</f>
        <v>799800000</v>
      </c>
      <c r="E42" s="86">
        <f t="shared" si="16"/>
        <v>799800000</v>
      </c>
      <c r="F42" s="86">
        <f t="shared" si="16"/>
        <v>799800000</v>
      </c>
      <c r="G42" s="86">
        <f t="shared" si="16"/>
        <v>799800000</v>
      </c>
      <c r="H42" s="86">
        <f t="shared" si="16"/>
        <v>799800000</v>
      </c>
      <c r="I42" s="86">
        <f t="shared" si="16"/>
        <v>799800000</v>
      </c>
      <c r="J42" s="86">
        <f t="shared" si="16"/>
        <v>799800000</v>
      </c>
      <c r="K42" s="86">
        <f t="shared" si="16"/>
        <v>799800000</v>
      </c>
      <c r="L42" s="86">
        <f t="shared" si="16"/>
        <v>799800000</v>
      </c>
      <c r="M42" s="86">
        <f t="shared" si="16"/>
        <v>799800000</v>
      </c>
      <c r="O42" s="82" t="s">
        <v>295</v>
      </c>
      <c r="P42" s="91">
        <f>Datos!$C$10*1000000*P38</f>
        <v>4200000000</v>
      </c>
    </row>
    <row r="43" spans="1:16" ht="13" x14ac:dyDescent="0.15">
      <c r="A43" s="84"/>
      <c r="B43" s="98" t="s">
        <v>296</v>
      </c>
      <c r="C43" s="81"/>
      <c r="D43" s="94">
        <f>D41-D42</f>
        <v>13200200000</v>
      </c>
      <c r="E43" s="94">
        <f>D43-E42</f>
        <v>12400400000</v>
      </c>
      <c r="F43" s="94">
        <f t="shared" ref="F43:M43" si="17">E43-F42</f>
        <v>11600600000</v>
      </c>
      <c r="G43" s="94">
        <f t="shared" si="17"/>
        <v>10800800000</v>
      </c>
      <c r="H43" s="94">
        <f t="shared" si="17"/>
        <v>10001000000</v>
      </c>
      <c r="I43" s="94">
        <f t="shared" si="17"/>
        <v>9201200000</v>
      </c>
      <c r="J43" s="94">
        <f t="shared" si="17"/>
        <v>8401400000</v>
      </c>
      <c r="K43" s="94">
        <f t="shared" si="17"/>
        <v>7601600000</v>
      </c>
      <c r="L43" s="94">
        <f t="shared" si="17"/>
        <v>6801800000</v>
      </c>
      <c r="M43" s="94">
        <f t="shared" si="17"/>
        <v>6002000000</v>
      </c>
      <c r="N43" s="86"/>
      <c r="O43" s="82" t="s">
        <v>297</v>
      </c>
      <c r="P43" s="89">
        <f>M43</f>
        <v>6002000000</v>
      </c>
    </row>
    <row r="44" spans="1:16" x14ac:dyDescent="0.15">
      <c r="A44" s="84"/>
      <c r="B44" s="98"/>
      <c r="C44" s="81"/>
      <c r="D44" s="94"/>
      <c r="E44" s="94"/>
      <c r="F44" s="94"/>
      <c r="G44" s="94"/>
      <c r="H44" s="94"/>
      <c r="I44" s="94"/>
      <c r="J44" s="94"/>
      <c r="K44" s="94"/>
      <c r="L44" s="94"/>
      <c r="M44" s="94"/>
      <c r="O44" s="82" t="s">
        <v>282</v>
      </c>
      <c r="P44" s="91">
        <f>P42-P43</f>
        <v>-1802000000</v>
      </c>
    </row>
    <row r="45" spans="1:16" ht="13" x14ac:dyDescent="0.15">
      <c r="A45" s="84"/>
      <c r="B45" s="98" t="s">
        <v>298</v>
      </c>
      <c r="C45" s="81"/>
      <c r="D45" s="94">
        <f ca="1">D43+D38</f>
        <v>14418950000</v>
      </c>
      <c r="E45" s="94">
        <f ca="1">E43+E38</f>
        <v>13353492985.172363</v>
      </c>
      <c r="F45" s="94">
        <f t="shared" ref="F45:L45" ca="1" si="18">F43+F38</f>
        <v>12374135605.322086</v>
      </c>
      <c r="G45" s="94">
        <f t="shared" ca="1" si="18"/>
        <v>11358503473.000683</v>
      </c>
      <c r="H45" s="94">
        <f t="shared" ca="1" si="18"/>
        <v>10299907566.764507</v>
      </c>
      <c r="I45" s="94">
        <f t="shared" ca="1" si="18"/>
        <v>9194790162.3952065</v>
      </c>
      <c r="J45" s="94">
        <f t="shared" ca="1" si="18"/>
        <v>8033519080.939765</v>
      </c>
      <c r="K45" s="94">
        <f t="shared" ca="1" si="18"/>
        <v>6812269770.0313034</v>
      </c>
      <c r="L45" s="94">
        <f t="shared" ca="1" si="18"/>
        <v>5518619873.6880703</v>
      </c>
      <c r="M45" s="94">
        <f ca="1">M43+M38</f>
        <v>4145418799.2521305</v>
      </c>
      <c r="O45" s="82" t="s">
        <v>299</v>
      </c>
      <c r="P45" s="82">
        <f>IF(P44&lt;0,0,P44*P40)</f>
        <v>0</v>
      </c>
    </row>
    <row r="46" spans="1:16" x14ac:dyDescent="0.15">
      <c r="B46" s="98"/>
      <c r="D46" s="89"/>
      <c r="E46" s="89"/>
      <c r="F46" s="89"/>
      <c r="G46" s="89"/>
      <c r="H46" s="89"/>
      <c r="I46" s="89"/>
      <c r="J46" s="89"/>
      <c r="K46" s="89"/>
      <c r="L46" s="89"/>
      <c r="M46" s="89"/>
    </row>
    <row r="47" spans="1:16" x14ac:dyDescent="0.15">
      <c r="O47" s="82" t="s">
        <v>300</v>
      </c>
      <c r="P47" s="91">
        <f>P42-P45</f>
        <v>4200000000</v>
      </c>
    </row>
    <row r="48" spans="1:16" ht="13" x14ac:dyDescent="0.15">
      <c r="B48" s="105" t="s">
        <v>301</v>
      </c>
      <c r="C48" s="107" t="s">
        <v>261</v>
      </c>
      <c r="D48" s="107" t="s">
        <v>85</v>
      </c>
      <c r="E48" s="107" t="s">
        <v>86</v>
      </c>
      <c r="F48" s="107" t="s">
        <v>87</v>
      </c>
      <c r="G48" s="107" t="s">
        <v>88</v>
      </c>
      <c r="H48" s="107" t="s">
        <v>89</v>
      </c>
      <c r="I48" s="107" t="s">
        <v>90</v>
      </c>
      <c r="J48" s="107" t="s">
        <v>91</v>
      </c>
      <c r="K48" s="107" t="s">
        <v>92</v>
      </c>
      <c r="L48" s="107" t="s">
        <v>93</v>
      </c>
      <c r="M48" s="107" t="s">
        <v>94</v>
      </c>
      <c r="N48" s="107" t="s">
        <v>268</v>
      </c>
      <c r="O48" s="82" t="s">
        <v>302</v>
      </c>
      <c r="P48" s="91">
        <f>Datos!$C$10*'Estado de resultados'!P39*1000000</f>
        <v>1470000000</v>
      </c>
    </row>
    <row r="49" spans="2:16" ht="13" x14ac:dyDescent="0.15">
      <c r="B49" s="96" t="s">
        <v>278</v>
      </c>
      <c r="C49" s="86"/>
      <c r="D49" s="86">
        <f>D26</f>
        <v>1005950000</v>
      </c>
      <c r="E49" s="86">
        <f t="shared" ref="E49:M49" si="19">E26</f>
        <v>11217085734</v>
      </c>
      <c r="F49" s="86">
        <f t="shared" si="19"/>
        <v>13329606768.160664</v>
      </c>
      <c r="G49" s="86">
        <f t="shared" si="19"/>
        <v>15725796223.349127</v>
      </c>
      <c r="H49" s="86">
        <f t="shared" si="19"/>
        <v>18441137915.053993</v>
      </c>
      <c r="I49" s="86">
        <f t="shared" si="19"/>
        <v>21510456884.71899</v>
      </c>
      <c r="J49" s="86">
        <f t="shared" si="19"/>
        <v>24937054738.934376</v>
      </c>
      <c r="K49" s="86">
        <f t="shared" si="19"/>
        <v>28824735352.125233</v>
      </c>
      <c r="L49" s="86">
        <f t="shared" si="19"/>
        <v>33262747207.056545</v>
      </c>
      <c r="M49" s="86">
        <f t="shared" si="19"/>
        <v>38297645573.897278</v>
      </c>
      <c r="O49" s="82" t="s">
        <v>303</v>
      </c>
      <c r="P49" s="91">
        <f>P47-P48</f>
        <v>2730000000</v>
      </c>
    </row>
    <row r="50" spans="2:16" ht="13" x14ac:dyDescent="0.15">
      <c r="B50" s="96" t="s">
        <v>304</v>
      </c>
      <c r="C50" s="86"/>
      <c r="D50" s="86">
        <f t="shared" ref="D50:M50" si="20">IF(D49&lt;0,0,D49*D5)</f>
        <v>352082500</v>
      </c>
      <c r="E50" s="86">
        <f t="shared" si="20"/>
        <v>3925980006.8999996</v>
      </c>
      <c r="F50" s="86">
        <f t="shared" si="20"/>
        <v>4665362368.8562317</v>
      </c>
      <c r="G50" s="86">
        <f t="shared" si="20"/>
        <v>5504028678.1721945</v>
      </c>
      <c r="H50" s="86">
        <f t="shared" si="20"/>
        <v>6454398270.2688971</v>
      </c>
      <c r="I50" s="86">
        <f t="shared" si="20"/>
        <v>7528659909.6516457</v>
      </c>
      <c r="J50" s="86">
        <f t="shared" si="20"/>
        <v>8727969158.6270313</v>
      </c>
      <c r="K50" s="86">
        <f t="shared" si="20"/>
        <v>10088657373.243832</v>
      </c>
      <c r="L50" s="86">
        <f t="shared" si="20"/>
        <v>11641961522.46979</v>
      </c>
      <c r="M50" s="86">
        <f t="shared" si="20"/>
        <v>13404175950.864046</v>
      </c>
    </row>
    <row r="51" spans="2:16" s="81" customFormat="1" ht="13" x14ac:dyDescent="0.15">
      <c r="B51" s="98" t="s">
        <v>305</v>
      </c>
      <c r="C51" s="94"/>
      <c r="D51" s="94">
        <f>D49-D50</f>
        <v>653867500</v>
      </c>
      <c r="E51" s="94">
        <f t="shared" ref="E51:M51" si="21">E49-E50</f>
        <v>7291105727.1000004</v>
      </c>
      <c r="F51" s="94">
        <f t="shared" si="21"/>
        <v>8664244399.3044319</v>
      </c>
      <c r="G51" s="94">
        <f t="shared" si="21"/>
        <v>10221767545.176933</v>
      </c>
      <c r="H51" s="94">
        <f t="shared" si="21"/>
        <v>11986739644.785095</v>
      </c>
      <c r="I51" s="94">
        <f t="shared" si="21"/>
        <v>13981796975.067345</v>
      </c>
      <c r="J51" s="94">
        <f t="shared" si="21"/>
        <v>16209085580.307344</v>
      </c>
      <c r="K51" s="94">
        <f t="shared" si="21"/>
        <v>18736077978.881401</v>
      </c>
      <c r="L51" s="94">
        <f t="shared" si="21"/>
        <v>21620785684.586754</v>
      </c>
      <c r="M51" s="94">
        <f t="shared" si="21"/>
        <v>24893469623.033234</v>
      </c>
    </row>
    <row r="52" spans="2:16" ht="13" x14ac:dyDescent="0.15">
      <c r="B52" s="96" t="s">
        <v>306</v>
      </c>
      <c r="C52" s="86"/>
      <c r="D52" s="86" cm="1">
        <f t="array" ref="D52:M52">_xlfn.ANCHORARRAY(D22)</f>
        <v>799800000</v>
      </c>
      <c r="E52" s="86">
        <v>799800000</v>
      </c>
      <c r="F52" s="86">
        <v>799800000</v>
      </c>
      <c r="G52" s="86">
        <v>799800000</v>
      </c>
      <c r="H52" s="86">
        <v>799800000</v>
      </c>
      <c r="I52" s="86">
        <v>799800000</v>
      </c>
      <c r="J52" s="86">
        <v>799800000</v>
      </c>
      <c r="K52" s="86">
        <v>799800000</v>
      </c>
      <c r="L52" s="86">
        <v>799800000</v>
      </c>
      <c r="M52" s="86">
        <v>799800000</v>
      </c>
    </row>
    <row r="53" spans="2:16" ht="13" x14ac:dyDescent="0.15">
      <c r="B53" s="96" t="s">
        <v>307</v>
      </c>
      <c r="C53" s="86"/>
      <c r="D53" s="86" cm="1">
        <f t="array" ref="D53">_xlfn.ANCHORARRAY(D23)</f>
        <v>0</v>
      </c>
      <c r="E53" s="86"/>
      <c r="F53" s="86"/>
      <c r="G53" s="86"/>
      <c r="H53" s="86"/>
      <c r="I53" s="86"/>
      <c r="J53" s="86"/>
      <c r="K53" s="86"/>
      <c r="L53" s="86"/>
      <c r="M53" s="86"/>
    </row>
    <row r="54" spans="2:16" s="81" customFormat="1" ht="13" x14ac:dyDescent="0.15">
      <c r="B54" s="98" t="s">
        <v>308</v>
      </c>
      <c r="C54" s="94"/>
      <c r="D54" s="94">
        <f t="shared" ref="D54:M54" si="22">D51+D52+D53</f>
        <v>1453667500</v>
      </c>
      <c r="E54" s="94">
        <f t="shared" si="22"/>
        <v>8090905727.1000004</v>
      </c>
      <c r="F54" s="94">
        <f t="shared" si="22"/>
        <v>9464044399.3044319</v>
      </c>
      <c r="G54" s="94">
        <f t="shared" si="22"/>
        <v>11021567545.176933</v>
      </c>
      <c r="H54" s="94">
        <f t="shared" si="22"/>
        <v>12786539644.785095</v>
      </c>
      <c r="I54" s="94">
        <f t="shared" si="22"/>
        <v>14781596975.067345</v>
      </c>
      <c r="J54" s="94">
        <f t="shared" si="22"/>
        <v>17008885580.307344</v>
      </c>
      <c r="K54" s="94">
        <f t="shared" si="22"/>
        <v>19535877978.881401</v>
      </c>
      <c r="L54" s="94">
        <f t="shared" si="22"/>
        <v>22420585684.586754</v>
      </c>
      <c r="M54" s="94">
        <f t="shared" si="22"/>
        <v>25693269623.033234</v>
      </c>
    </row>
    <row r="55" spans="2:16" x14ac:dyDescent="0.15">
      <c r="B55" s="98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</row>
    <row r="56" spans="2:16" x14ac:dyDescent="0.15">
      <c r="B56" s="98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</row>
    <row r="57" spans="2:16" ht="13" x14ac:dyDescent="0.15">
      <c r="B57" s="105" t="s">
        <v>301</v>
      </c>
      <c r="C57" s="107" t="s">
        <v>261</v>
      </c>
      <c r="D57" s="107" t="s">
        <v>85</v>
      </c>
      <c r="E57" s="107" t="s">
        <v>86</v>
      </c>
      <c r="F57" s="107" t="s">
        <v>87</v>
      </c>
      <c r="G57" s="107" t="s">
        <v>88</v>
      </c>
      <c r="H57" s="107" t="s">
        <v>89</v>
      </c>
      <c r="I57" s="107" t="s">
        <v>90</v>
      </c>
      <c r="J57" s="107" t="s">
        <v>91</v>
      </c>
      <c r="K57" s="107" t="s">
        <v>92</v>
      </c>
      <c r="L57" s="107" t="s">
        <v>93</v>
      </c>
      <c r="M57" s="107" t="s">
        <v>94</v>
      </c>
      <c r="N57" s="107" t="s">
        <v>268</v>
      </c>
    </row>
    <row r="58" spans="2:16" ht="13" x14ac:dyDescent="0.15">
      <c r="B58" s="96" t="s">
        <v>283</v>
      </c>
      <c r="C58" s="81"/>
      <c r="D58" s="111">
        <f t="shared" ref="D58:M58" si="23">D32</f>
        <v>1805750000</v>
      </c>
      <c r="E58" s="111">
        <f t="shared" si="23"/>
        <v>12016885734</v>
      </c>
      <c r="F58" s="111">
        <f t="shared" si="23"/>
        <v>14129406768.160664</v>
      </c>
      <c r="G58" s="111">
        <f t="shared" si="23"/>
        <v>16525596223.349127</v>
      </c>
      <c r="H58" s="111">
        <f t="shared" si="23"/>
        <v>19240937915.053993</v>
      </c>
      <c r="I58" s="111">
        <f t="shared" si="23"/>
        <v>22310256884.71899</v>
      </c>
      <c r="J58" s="111">
        <f t="shared" si="23"/>
        <v>25736854738.934376</v>
      </c>
      <c r="K58" s="111">
        <f t="shared" si="23"/>
        <v>29624535352.125233</v>
      </c>
      <c r="L58" s="111">
        <f t="shared" si="23"/>
        <v>34062547207.056545</v>
      </c>
      <c r="M58" s="111">
        <f t="shared" si="23"/>
        <v>39097445573.897278</v>
      </c>
      <c r="N58" s="81"/>
    </row>
    <row r="59" spans="2:16" ht="13" x14ac:dyDescent="0.15">
      <c r="B59" s="96" t="s">
        <v>304</v>
      </c>
      <c r="C59" s="81"/>
      <c r="D59" s="111">
        <f t="shared" ref="D59:M59" si="24">D50</f>
        <v>352082500</v>
      </c>
      <c r="E59" s="111">
        <f t="shared" si="24"/>
        <v>3925980006.8999996</v>
      </c>
      <c r="F59" s="111">
        <f t="shared" si="24"/>
        <v>4665362368.8562317</v>
      </c>
      <c r="G59" s="111">
        <f t="shared" si="24"/>
        <v>5504028678.1721945</v>
      </c>
      <c r="H59" s="111">
        <f t="shared" si="24"/>
        <v>6454398270.2688971</v>
      </c>
      <c r="I59" s="111">
        <f t="shared" si="24"/>
        <v>7528659909.6516457</v>
      </c>
      <c r="J59" s="111">
        <f t="shared" si="24"/>
        <v>8727969158.6270313</v>
      </c>
      <c r="K59" s="111">
        <f t="shared" si="24"/>
        <v>10088657373.243832</v>
      </c>
      <c r="L59" s="111">
        <f t="shared" si="24"/>
        <v>11641961522.46979</v>
      </c>
      <c r="M59" s="111">
        <f t="shared" si="24"/>
        <v>13404175950.864046</v>
      </c>
      <c r="N59" s="81"/>
    </row>
    <row r="60" spans="2:16" s="81" customFormat="1" ht="13" x14ac:dyDescent="0.15">
      <c r="B60" s="98" t="s">
        <v>308</v>
      </c>
      <c r="D60" s="112">
        <f>D58-D59</f>
        <v>1453667500</v>
      </c>
      <c r="E60" s="112">
        <f t="shared" ref="E60:M60" si="25">E58-E59</f>
        <v>8090905727.1000004</v>
      </c>
      <c r="F60" s="112">
        <f t="shared" si="25"/>
        <v>9464044399.3044319</v>
      </c>
      <c r="G60" s="112">
        <f t="shared" si="25"/>
        <v>11021567545.176933</v>
      </c>
      <c r="H60" s="112">
        <f t="shared" si="25"/>
        <v>12786539644.785095</v>
      </c>
      <c r="I60" s="112">
        <f t="shared" si="25"/>
        <v>14781596975.067345</v>
      </c>
      <c r="J60" s="112">
        <f t="shared" si="25"/>
        <v>17008885580.307344</v>
      </c>
      <c r="K60" s="112">
        <f t="shared" si="25"/>
        <v>19535877978.881401</v>
      </c>
      <c r="L60" s="112">
        <f t="shared" si="25"/>
        <v>22420585684.586754</v>
      </c>
      <c r="M60" s="112">
        <f t="shared" si="25"/>
        <v>25693269623.033234</v>
      </c>
    </row>
    <row r="61" spans="2:16" ht="13" x14ac:dyDescent="0.15">
      <c r="B61" s="96" t="s">
        <v>309</v>
      </c>
      <c r="C61" s="86"/>
      <c r="D61" s="86">
        <f t="shared" ref="D61:M61" ca="1" si="26">-D39</f>
        <v>-1218750000</v>
      </c>
      <c r="E61" s="86">
        <f t="shared" ca="1" si="26"/>
        <v>265657014.8276372</v>
      </c>
      <c r="F61" s="86">
        <f t="shared" ca="1" si="26"/>
        <v>179557379.85027599</v>
      </c>
      <c r="G61" s="86">
        <f t="shared" ca="1" si="26"/>
        <v>215832132.32140303</v>
      </c>
      <c r="H61" s="86">
        <f t="shared" ca="1" si="26"/>
        <v>258795906.23617554</v>
      </c>
      <c r="I61" s="86">
        <f t="shared" ca="1" si="26"/>
        <v>305317404.3693018</v>
      </c>
      <c r="J61" s="86">
        <f t="shared" ca="1" si="26"/>
        <v>361471081.45544147</v>
      </c>
      <c r="K61" s="86">
        <f t="shared" ca="1" si="26"/>
        <v>421449310.90846157</v>
      </c>
      <c r="L61" s="86">
        <f t="shared" ca="1" si="26"/>
        <v>493849896.34323311</v>
      </c>
      <c r="M61" s="86">
        <f t="shared" ca="1" si="26"/>
        <v>573401074.43593979</v>
      </c>
    </row>
    <row r="62" spans="2:16" s="81" customFormat="1" ht="13" x14ac:dyDescent="0.15">
      <c r="B62" s="98" t="s">
        <v>310</v>
      </c>
      <c r="C62" s="94"/>
      <c r="D62" s="94">
        <f ca="1">D60+D61</f>
        <v>234917500</v>
      </c>
      <c r="E62" s="94">
        <f ca="1">E54+E61</f>
        <v>8356562741.9276371</v>
      </c>
      <c r="F62" s="94">
        <f ca="1">F54+F61</f>
        <v>9643601779.1547089</v>
      </c>
      <c r="G62" s="94">
        <f ca="1">G54+G61</f>
        <v>11237399677.498337</v>
      </c>
      <c r="H62" s="94">
        <f t="shared" ref="H62:M62" ca="1" si="27">H54+H61</f>
        <v>13045335551.021271</v>
      </c>
      <c r="I62" s="94">
        <f t="shared" ca="1" si="27"/>
        <v>15086914379.436646</v>
      </c>
      <c r="J62" s="94">
        <f t="shared" ca="1" si="27"/>
        <v>17370356661.762787</v>
      </c>
      <c r="K62" s="94">
        <f t="shared" ca="1" si="27"/>
        <v>19957327289.789864</v>
      </c>
      <c r="L62" s="94">
        <f t="shared" ca="1" si="27"/>
        <v>22914435580.929985</v>
      </c>
      <c r="M62" s="94">
        <f t="shared" ca="1" si="27"/>
        <v>26266670697.469173</v>
      </c>
    </row>
    <row r="63" spans="2:16" ht="13" x14ac:dyDescent="0.15">
      <c r="B63" s="96" t="s">
        <v>311</v>
      </c>
      <c r="C63" s="86">
        <f>-Datos!C10*1000000</f>
        <v>-14000000000</v>
      </c>
      <c r="D63" s="86">
        <v>0</v>
      </c>
      <c r="E63" s="86">
        <v>0</v>
      </c>
      <c r="F63" s="86">
        <v>0</v>
      </c>
      <c r="G63" s="86">
        <v>0</v>
      </c>
      <c r="H63" s="86">
        <f>-Datos!$C$10*Datos!$C$24*1000000</f>
        <v>-9800000000</v>
      </c>
      <c r="I63" s="86">
        <v>0</v>
      </c>
      <c r="J63" s="86">
        <v>0</v>
      </c>
      <c r="K63" s="86">
        <v>0</v>
      </c>
      <c r="L63" s="86">
        <v>0</v>
      </c>
      <c r="M63" s="86">
        <v>0</v>
      </c>
    </row>
    <row r="64" spans="2:16" s="81" customFormat="1" ht="13" x14ac:dyDescent="0.15">
      <c r="B64" s="98" t="s">
        <v>312</v>
      </c>
      <c r="C64" s="94">
        <f>C62+C63</f>
        <v>-14000000000</v>
      </c>
      <c r="D64" s="94">
        <f ca="1">D62+D63</f>
        <v>234917500</v>
      </c>
      <c r="E64" s="94">
        <f t="shared" ref="E64:L64" ca="1" si="28">E62+E63</f>
        <v>8356562741.9276371</v>
      </c>
      <c r="F64" s="94">
        <f ca="1">F62+F63</f>
        <v>9643601779.1547089</v>
      </c>
      <c r="G64" s="94">
        <f ca="1">G62+G63</f>
        <v>11237399677.498337</v>
      </c>
      <c r="H64" s="94">
        <f ca="1">H62+H63</f>
        <v>3245335551.0212708</v>
      </c>
      <c r="I64" s="94">
        <f t="shared" ca="1" si="28"/>
        <v>15086914379.436646</v>
      </c>
      <c r="J64" s="94">
        <f t="shared" ca="1" si="28"/>
        <v>17370356661.762787</v>
      </c>
      <c r="K64" s="94">
        <f t="shared" ca="1" si="28"/>
        <v>19957327289.789864</v>
      </c>
      <c r="L64" s="94">
        <f t="shared" ca="1" si="28"/>
        <v>22914435580.929985</v>
      </c>
      <c r="M64" s="94">
        <f ca="1">M62+M63</f>
        <v>26266670697.469173</v>
      </c>
      <c r="N64" s="95">
        <f>P49</f>
        <v>2730000000</v>
      </c>
    </row>
    <row r="65" spans="2:14" ht="13" x14ac:dyDescent="0.15">
      <c r="B65" s="98" t="s">
        <v>100</v>
      </c>
      <c r="C65" s="86"/>
      <c r="D65" s="113">
        <f ca="1">1/(1+WACC!$B$18)^'Estado de resultados'!D2</f>
        <v>0.82673938243086387</v>
      </c>
      <c r="E65" s="113">
        <f ca="1">1/(1+WACC!$B$18)^'Estado de resultados'!E2</f>
        <v>0.68349800646216619</v>
      </c>
      <c r="F65" s="113">
        <f ca="1">1/(1+WACC!$B$18)^'Estado de resultados'!F2</f>
        <v>0.5650747197552578</v>
      </c>
      <c r="G65" s="113">
        <f ca="1">1/(1+WACC!$B$18)^'Estado de resultados'!G2</f>
        <v>0.46716952483775531</v>
      </c>
      <c r="H65" s="113">
        <f ca="1">1/(1+WACC!$B$18)^'Estado de resultados'!H2</f>
        <v>0.38622744445488594</v>
      </c>
      <c r="I65" s="113">
        <f ca="1">1/(1+WACC!$B$18)^'Estado de resultados'!I2</f>
        <v>0.31930943890648317</v>
      </c>
      <c r="J65" s="113">
        <f ca="1">1/(1+WACC!$B$18)^'Estado de resultados'!J2</f>
        <v>0.26398568832589153</v>
      </c>
      <c r="K65" s="113">
        <f ca="1">1/(1+WACC!$B$18)^'Estado de resultados'!K2</f>
        <v>0.21824736493713406</v>
      </c>
      <c r="L65" s="113">
        <f ca="1">1/(1+WACC!$B$18)^'Estado de resultados'!L2</f>
        <v>0.18043369170528961</v>
      </c>
      <c r="M65" s="113">
        <f ca="1">1/(1+WACC!$B$18)^'Estado de resultados'!M2</f>
        <v>0.149171638850152</v>
      </c>
      <c r="N65" s="113">
        <f ca="1">1/(1+WACC!$B$18)^11</f>
        <v>0.12332606857917452</v>
      </c>
    </row>
    <row r="66" spans="2:14" ht="13" x14ac:dyDescent="0.15">
      <c r="B66" s="96" t="s">
        <v>313</v>
      </c>
      <c r="C66" s="111">
        <f>C64</f>
        <v>-14000000000</v>
      </c>
      <c r="D66" s="86">
        <f t="shared" ref="D66:N66" ca="1" si="29">D64*D65</f>
        <v>194215548.87220246</v>
      </c>
      <c r="E66" s="86">
        <f t="shared" ca="1" si="29"/>
        <v>5711693974.9835529</v>
      </c>
      <c r="F66" s="86">
        <f t="shared" ca="1" si="29"/>
        <v>5449355572.7871523</v>
      </c>
      <c r="G66" s="86">
        <f t="shared" ca="1" si="29"/>
        <v>5249770667.7488432</v>
      </c>
      <c r="H66" s="86">
        <f t="shared" ca="1" si="29"/>
        <v>1253437656.2695346</v>
      </c>
      <c r="I66" s="86">
        <f t="shared" ca="1" si="29"/>
        <v>4817394165.3280678</v>
      </c>
      <c r="J66" s="86">
        <f t="shared" ca="1" si="29"/>
        <v>4585525559.8216848</v>
      </c>
      <c r="K66" s="86">
        <f t="shared" ca="1" si="29"/>
        <v>4355634092.1845932</v>
      </c>
      <c r="L66" s="86">
        <f t="shared" ca="1" si="29"/>
        <v>4134536205.2102399</v>
      </c>
      <c r="M66" s="86">
        <f t="shared" ca="1" si="29"/>
        <v>3918242315.0787416</v>
      </c>
      <c r="N66" s="86">
        <f t="shared" ca="1" si="29"/>
        <v>336680167.22114646</v>
      </c>
    </row>
    <row r="67" spans="2:14" x14ac:dyDescent="0.15">
      <c r="C67" s="111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</row>
    <row r="68" spans="2:14" ht="13" x14ac:dyDescent="0.15">
      <c r="B68" s="114" t="s">
        <v>314</v>
      </c>
      <c r="C68" s="115">
        <f ca="1">NPV(WACC!B18,'Estado de resultados'!D64:N64)+'Estado de resultados'!C64</f>
        <v>26006485925.50576</v>
      </c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91"/>
    </row>
    <row r="69" spans="2:14" ht="13" x14ac:dyDescent="0.15">
      <c r="B69" s="116" t="s">
        <v>315</v>
      </c>
      <c r="C69" s="118">
        <f ca="1">C68-'Costo de oportunidad'!$B$21</f>
        <v>23206485925.50576</v>
      </c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91"/>
    </row>
    <row r="70" spans="2:14" ht="13" x14ac:dyDescent="0.15">
      <c r="B70" s="116" t="s">
        <v>316</v>
      </c>
      <c r="C70" s="117">
        <f ca="1">MIRR(C64:N64,WACC!B18,WACC!B18)</f>
        <v>0.3307183167769705</v>
      </c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91"/>
    </row>
    <row r="71" spans="2:14" s="81" customFormat="1" ht="13" x14ac:dyDescent="0.15">
      <c r="B71" s="116" t="s">
        <v>317</v>
      </c>
      <c r="C71" s="126">
        <f ca="1">2+ABS(SUM(C66:E66))/F66</f>
        <v>3.48532984644355</v>
      </c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5"/>
    </row>
    <row r="72" spans="2:14" ht="13" x14ac:dyDescent="0.15">
      <c r="B72" s="119" t="s">
        <v>318</v>
      </c>
      <c r="C72" s="120"/>
    </row>
    <row r="73" spans="2:14" s="81" customFormat="1" ht="13" x14ac:dyDescent="0.15">
      <c r="B73" s="119" t="s">
        <v>319</v>
      </c>
      <c r="C73" s="120"/>
    </row>
    <row r="74" spans="2:14" s="81" customFormat="1" ht="13" x14ac:dyDescent="0.15">
      <c r="B74" s="121" t="s">
        <v>320</v>
      </c>
      <c r="C74" s="122">
        <f ca="1">ABS(SUM(D66:N66)/C64)</f>
        <v>2.8576061375361257</v>
      </c>
      <c r="D74" s="94"/>
      <c r="E74" s="94"/>
      <c r="F74" s="94"/>
      <c r="G74" s="94"/>
      <c r="H74" s="94"/>
      <c r="I74" s="94"/>
      <c r="J74" s="94"/>
      <c r="K74" s="94"/>
      <c r="L74" s="94"/>
      <c r="M74" s="94"/>
    </row>
    <row r="77" spans="2:14" ht="13" x14ac:dyDescent="0.15">
      <c r="B77" s="96" t="s">
        <v>321</v>
      </c>
      <c r="D77" s="90">
        <f t="shared" ref="D77:M77" ca="1" si="30">D51/D45</f>
        <v>4.5347788847315509E-2</v>
      </c>
      <c r="E77" s="90">
        <f t="shared" ca="1" si="30"/>
        <v>0.54600738063037135</v>
      </c>
      <c r="F77" s="90">
        <f t="shared" ca="1" si="30"/>
        <v>0.70018986987486709</v>
      </c>
      <c r="G77" s="90">
        <f t="shared" ca="1" si="30"/>
        <v>0.89992203369697543</v>
      </c>
      <c r="H77" s="90">
        <f t="shared" ca="1" si="30"/>
        <v>1.1637715743647659</v>
      </c>
      <c r="I77" s="90">
        <f t="shared" ca="1" si="30"/>
        <v>1.5206216485776922</v>
      </c>
      <c r="J77" s="90">
        <f t="shared" ca="1" si="30"/>
        <v>2.0176818424150924</v>
      </c>
      <c r="K77" s="90">
        <f t="shared" ca="1" si="30"/>
        <v>2.7503429270087913</v>
      </c>
      <c r="L77" s="90">
        <f t="shared" ca="1" si="30"/>
        <v>3.9177885376145096</v>
      </c>
      <c r="M77" s="90">
        <f t="shared" ca="1" si="30"/>
        <v>6.0050554186525691</v>
      </c>
    </row>
    <row r="78" spans="2:14" ht="13" x14ac:dyDescent="0.15">
      <c r="B78" s="96" t="s">
        <v>322</v>
      </c>
      <c r="D78" s="90">
        <f t="shared" ref="D78:M78" si="31">D19/D15</f>
        <v>0.60807692307692307</v>
      </c>
      <c r="E78" s="90">
        <f t="shared" si="31"/>
        <v>0.65520647034037172</v>
      </c>
      <c r="F78" s="90">
        <f t="shared" si="31"/>
        <v>0.66644242142634424</v>
      </c>
      <c r="G78" s="90">
        <f t="shared" si="31"/>
        <v>0.67723737363021419</v>
      </c>
      <c r="H78" s="90">
        <f t="shared" si="31"/>
        <v>0.68760893072458507</v>
      </c>
      <c r="I78" s="90">
        <f t="shared" si="31"/>
        <v>0.69757397771863949</v>
      </c>
      <c r="J78" s="90">
        <f t="shared" si="31"/>
        <v>0.70714871106450117</v>
      </c>
      <c r="K78" s="90">
        <f t="shared" si="31"/>
        <v>0.71634866754921511</v>
      </c>
      <c r="L78" s="90">
        <f t="shared" si="31"/>
        <v>0.72518875193181564</v>
      </c>
      <c r="M78" s="90">
        <f t="shared" si="31"/>
        <v>0.73368326338216816</v>
      </c>
    </row>
    <row r="79" spans="2:14" ht="13" x14ac:dyDescent="0.15">
      <c r="B79" s="96" t="s">
        <v>323</v>
      </c>
      <c r="D79" s="90">
        <f t="shared" ref="D79:M79" si="32">D26/D15</f>
        <v>0.10317435897435898</v>
      </c>
      <c r="E79" s="90">
        <f t="shared" si="32"/>
        <v>0.33079431202333559</v>
      </c>
      <c r="F79" s="90">
        <f t="shared" si="32"/>
        <v>0.34710077795121136</v>
      </c>
      <c r="G79" s="90">
        <f t="shared" si="32"/>
        <v>0.36246769993471895</v>
      </c>
      <c r="H79" s="90">
        <f t="shared" si="32"/>
        <v>0.37698091093482289</v>
      </c>
      <c r="I79" s="90">
        <f t="shared" si="32"/>
        <v>0.39070875568026198</v>
      </c>
      <c r="J79" s="90">
        <f t="shared" si="32"/>
        <v>0.40369367013719554</v>
      </c>
      <c r="K79" s="90">
        <f t="shared" si="32"/>
        <v>0.41602459669217595</v>
      </c>
      <c r="L79" s="90">
        <f t="shared" si="32"/>
        <v>0.42775194894919005</v>
      </c>
      <c r="M79" s="90">
        <f t="shared" si="32"/>
        <v>0.43890264944221902</v>
      </c>
    </row>
    <row r="80" spans="2:14" ht="13" x14ac:dyDescent="0.15">
      <c r="B80" s="96" t="s">
        <v>324</v>
      </c>
      <c r="D80" s="90">
        <f t="shared" ref="D80:M80" si="33">D32/D15</f>
        <v>0.18520512820512822</v>
      </c>
      <c r="E80" s="90">
        <f t="shared" si="33"/>
        <v>0.3543805889788848</v>
      </c>
      <c r="F80" s="90">
        <f t="shared" si="33"/>
        <v>0.36792743900984709</v>
      </c>
      <c r="G80" s="90">
        <f t="shared" si="33"/>
        <v>0.38090248455804709</v>
      </c>
      <c r="H80" s="90">
        <f t="shared" si="33"/>
        <v>0.39333073348669162</v>
      </c>
      <c r="I80" s="90">
        <f t="shared" si="33"/>
        <v>0.40523605579609845</v>
      </c>
      <c r="J80" s="90">
        <f t="shared" si="33"/>
        <v>0.41664123755267002</v>
      </c>
      <c r="K80" s="90">
        <f t="shared" si="33"/>
        <v>0.42756803216069517</v>
      </c>
      <c r="L80" s="90">
        <f t="shared" si="33"/>
        <v>0.43803720911245714</v>
      </c>
      <c r="M80" s="90">
        <f t="shared" si="33"/>
        <v>0.44806860034503754</v>
      </c>
    </row>
    <row r="81" spans="2:13" ht="13" x14ac:dyDescent="0.15">
      <c r="B81" s="96" t="s">
        <v>325</v>
      </c>
      <c r="D81" s="90">
        <f t="shared" ref="D81:M81" ca="1" si="34">D38/D15</f>
        <v>0.125</v>
      </c>
      <c r="E81" s="90">
        <f t="shared" ca="1" si="34"/>
        <v>2.8106920620988358E-2</v>
      </c>
      <c r="F81" s="90">
        <f t="shared" ca="1" si="34"/>
        <v>2.0142740521167438E-2</v>
      </c>
      <c r="G81" s="90">
        <f t="shared" ca="1" si="34"/>
        <v>1.2854642921292455E-2</v>
      </c>
      <c r="H81" s="90">
        <f t="shared" ca="1" si="34"/>
        <v>6.1103846911860042E-3</v>
      </c>
      <c r="I81" s="90">
        <f t="shared" ca="1" si="34"/>
        <v>-1.1642614976070301E-4</v>
      </c>
      <c r="J81" s="90">
        <f t="shared" ca="1" si="34"/>
        <v>-5.9554426111516458E-3</v>
      </c>
      <c r="K81" s="90">
        <f t="shared" ca="1" si="34"/>
        <v>-1.1392326297818313E-2</v>
      </c>
      <c r="L81" s="90">
        <f t="shared" ca="1" si="34"/>
        <v>-1.6501427151102924E-2</v>
      </c>
      <c r="M81" s="90">
        <f t="shared" ca="1" si="34"/>
        <v>-2.1276984412541628E-2</v>
      </c>
    </row>
    <row r="83" spans="2:13" ht="13" x14ac:dyDescent="0.15">
      <c r="B83" s="96" t="s">
        <v>326</v>
      </c>
      <c r="D83" s="92">
        <f ca="1">D80/D81</f>
        <v>1.4816410256410257</v>
      </c>
      <c r="E83" s="92">
        <f t="shared" ref="E83:M83" ca="1" si="35">E80/E81</f>
        <v>12.608303618798326</v>
      </c>
      <c r="F83" s="92">
        <f t="shared" ca="1" si="35"/>
        <v>18.266006982674604</v>
      </c>
      <c r="G83" s="92">
        <f t="shared" ca="1" si="35"/>
        <v>29.631510333680254</v>
      </c>
      <c r="H83" s="92">
        <f t="shared" ca="1" si="35"/>
        <v>64.370862615909616</v>
      </c>
      <c r="I83" s="92">
        <f t="shared" ca="1" si="35"/>
        <v>-3480.6274761211475</v>
      </c>
      <c r="J83" s="92">
        <f t="shared" ca="1" si="35"/>
        <v>-69.959743507981045</v>
      </c>
      <c r="K83" s="92">
        <f t="shared" ca="1" si="35"/>
        <v>-37.531231197492701</v>
      </c>
      <c r="L83" s="92">
        <f t="shared" ca="1" si="35"/>
        <v>-26.54541362400764</v>
      </c>
      <c r="M83" s="92">
        <f t="shared" ca="1" si="35"/>
        <v>-21.058839526193637</v>
      </c>
    </row>
    <row r="84" spans="2:13" ht="13" x14ac:dyDescent="0.15">
      <c r="B84" s="96" t="s">
        <v>327</v>
      </c>
      <c r="D84" s="93">
        <f ca="1">(D77-WACC!$B$18)*'Estado de resultados'!D45</f>
        <v>-2367926592.296567</v>
      </c>
      <c r="E84" s="93">
        <f ca="1">(E77-WACC!$B$18)*'Estado de resultados'!E45</f>
        <v>4492600550.6400299</v>
      </c>
      <c r="F84" s="93">
        <f ca="1">(F77-WACC!$B$18)*'Estado de resultados'!F45</f>
        <v>6070984150.1573792</v>
      </c>
      <c r="G84" s="93">
        <f ca="1">(G77-WACC!$B$18)*'Estado de resultados'!G45</f>
        <v>7841354360.302618</v>
      </c>
      <c r="H84" s="93">
        <f ca="1">(H77-WACC!$B$18)*'Estado de resultados'!H45</f>
        <v>9828177486.2056084</v>
      </c>
      <c r="I84" s="93">
        <f ca="1">(I77-WACC!$B$18)*'Estado de resultados'!I45</f>
        <v>12054835400.706354</v>
      </c>
      <c r="J84" s="93">
        <f ca="1">(J77-WACC!$B$18)*'Estado de resultados'!J45</f>
        <v>14525492773.678879</v>
      </c>
      <c r="K84" s="93">
        <f ca="1">(K77-WACC!$B$18)*'Estado de resultados'!K45</f>
        <v>17308423638.848938</v>
      </c>
      <c r="L84" s="93">
        <f ca="1">(L77-WACC!$B$18)*'Estado de resultados'!L45</f>
        <v>20464242875.856503</v>
      </c>
      <c r="M84" s="93">
        <f ca="1">(M77-WACC!$B$18)*'Estado de resultados'!M45</f>
        <v>24024709967.324932</v>
      </c>
    </row>
    <row r="86" spans="2:13" ht="26" x14ac:dyDescent="0.15">
      <c r="B86" s="96" t="s">
        <v>328</v>
      </c>
      <c r="D86" s="92">
        <f t="shared" ref="D86:M86" ca="1" si="36">D26/D27</f>
        <v>0.55136899194773203</v>
      </c>
      <c r="E86" s="92">
        <f t="shared" ca="1" si="36"/>
        <v>6.1307089968331088</v>
      </c>
      <c r="F86" s="92">
        <f t="shared" ca="1" si="36"/>
        <v>7.3060607851487758</v>
      </c>
      <c r="G86" s="92">
        <f t="shared" ca="1" si="36"/>
        <v>8.6194307979953866</v>
      </c>
      <c r="H86" s="92">
        <f t="shared" ca="1" si="36"/>
        <v>10.107730625371461</v>
      </c>
      <c r="I86" s="92">
        <f t="shared" ca="1" si="36"/>
        <v>11.75656089971875</v>
      </c>
      <c r="J86" s="92">
        <f t="shared" ca="1" si="36"/>
        <v>13.66819298528919</v>
      </c>
      <c r="K86" s="92">
        <f t="shared" ca="1" si="36"/>
        <v>15.799060862131761</v>
      </c>
      <c r="L86" s="92">
        <f t="shared" ca="1" si="36"/>
        <v>18.231569558096332</v>
      </c>
      <c r="M86" s="92">
        <f t="shared" ca="1" si="36"/>
        <v>20.931615024189643</v>
      </c>
    </row>
    <row r="87" spans="2:13" ht="13" x14ac:dyDescent="0.15">
      <c r="B87" s="96" t="s">
        <v>329</v>
      </c>
      <c r="D87" s="88" cm="1">
        <f t="array" aca="1" ref="D87:M87" ca="1">TRANSPOSE(Bonos!I27:I36)*1000000</f>
        <v>1824458782.9403377</v>
      </c>
      <c r="E87" s="88">
        <f ca="1"/>
        <v>1829655548.7781789</v>
      </c>
      <c r="F87" s="88">
        <f ca="1"/>
        <v>1824458782.9403377</v>
      </c>
      <c r="G87" s="88">
        <f ca="1"/>
        <v>1824458782.9403377</v>
      </c>
      <c r="H87" s="88">
        <f ca="1"/>
        <v>1824458782.9403377</v>
      </c>
      <c r="I87" s="88">
        <f ca="1"/>
        <v>1829655548.7781789</v>
      </c>
      <c r="J87" s="88">
        <f ca="1"/>
        <v>1824458782.9403377</v>
      </c>
      <c r="K87" s="88">
        <f ca="1"/>
        <v>1824458782.9403377</v>
      </c>
      <c r="L87" s="88">
        <f ca="1"/>
        <v>1824458782.9403377</v>
      </c>
      <c r="M87" s="88">
        <f ca="1"/>
        <v>13029655548.778179</v>
      </c>
    </row>
    <row r="88" spans="2:13" ht="26" x14ac:dyDescent="0.15">
      <c r="B88" s="96" t="s">
        <v>330</v>
      </c>
      <c r="D88" s="92">
        <f ca="1">D64/D87</f>
        <v>0.12876010255567508</v>
      </c>
      <c r="E88" s="92">
        <f t="shared" ref="E88:M88" ca="1" si="37">E64/E87</f>
        <v>4.5672874041827409</v>
      </c>
      <c r="F88" s="92">
        <f t="shared" ca="1" si="37"/>
        <v>5.2857328810754876</v>
      </c>
      <c r="G88" s="92">
        <f t="shared" ca="1" si="37"/>
        <v>6.1593058624146595</v>
      </c>
      <c r="H88" s="92">
        <f t="shared" ca="1" si="37"/>
        <v>1.7787935695598545</v>
      </c>
      <c r="I88" s="92">
        <f t="shared" ca="1" si="37"/>
        <v>8.2457675651089062</v>
      </c>
      <c r="J88" s="92">
        <f t="shared" ca="1" si="37"/>
        <v>9.520827120998776</v>
      </c>
      <c r="K88" s="92">
        <f t="shared" ca="1" si="37"/>
        <v>10.938765773390726</v>
      </c>
      <c r="L88" s="92">
        <f t="shared" ca="1" si="37"/>
        <v>12.559579747809146</v>
      </c>
      <c r="M88" s="92">
        <f t="shared" ca="1" si="37"/>
        <v>2.0159144345095337</v>
      </c>
    </row>
    <row r="89" spans="2:13" ht="13" x14ac:dyDescent="0.15">
      <c r="B89" s="96" t="s">
        <v>335</v>
      </c>
      <c r="C89" s="92">
        <f ca="1">AVERAGE(D88:M88)</f>
        <v>6.1200734461605508</v>
      </c>
      <c r="D89" s="92"/>
      <c r="E89" s="92"/>
      <c r="F89" s="92"/>
      <c r="G89" s="92"/>
      <c r="H89" s="92"/>
      <c r="I89" s="92"/>
      <c r="J89" s="92"/>
      <c r="K89" s="92"/>
      <c r="L89" s="92"/>
      <c r="M89" s="92"/>
    </row>
    <row r="90" spans="2:13" ht="13" x14ac:dyDescent="0.15">
      <c r="B90" s="96" t="s">
        <v>229</v>
      </c>
      <c r="D90" s="88" cm="1">
        <f t="array" ref="D90:M90">TRANSPOSE(Bonos!J27:J36)*1000000</f>
        <v>11200000000</v>
      </c>
      <c r="E90" s="88">
        <v>11200000000</v>
      </c>
      <c r="F90" s="88">
        <v>11200000000</v>
      </c>
      <c r="G90" s="88">
        <v>11200000000</v>
      </c>
      <c r="H90" s="88">
        <v>11200000000</v>
      </c>
      <c r="I90" s="88">
        <v>11200000000</v>
      </c>
      <c r="J90" s="88">
        <v>11200000000</v>
      </c>
      <c r="K90" s="88">
        <v>11200000000</v>
      </c>
      <c r="L90" s="88">
        <v>11200000000</v>
      </c>
      <c r="M90" s="88">
        <v>0</v>
      </c>
    </row>
    <row r="91" spans="2:13" ht="13" x14ac:dyDescent="0.15">
      <c r="B91" s="96" t="s">
        <v>331</v>
      </c>
      <c r="D91" s="92">
        <f t="shared" ref="D91:M91" si="38">D90/D32</f>
        <v>6.2024089713415478</v>
      </c>
      <c r="E91" s="92">
        <f t="shared" si="38"/>
        <v>0.93202184392177889</v>
      </c>
      <c r="F91" s="92">
        <f t="shared" si="38"/>
        <v>0.79267305300022817</v>
      </c>
      <c r="G91" s="92">
        <f t="shared" si="38"/>
        <v>0.67773651544114599</v>
      </c>
      <c r="H91" s="92">
        <f t="shared" si="38"/>
        <v>0.58209220618279678</v>
      </c>
      <c r="I91" s="92">
        <f t="shared" si="38"/>
        <v>0.50201125239715361</v>
      </c>
      <c r="J91" s="92">
        <f t="shared" si="38"/>
        <v>0.4351736105133619</v>
      </c>
      <c r="K91" s="92">
        <f t="shared" si="38"/>
        <v>0.37806500142107796</v>
      </c>
      <c r="L91" s="92">
        <f t="shared" si="38"/>
        <v>0.32880688375764683</v>
      </c>
      <c r="M91" s="92">
        <f t="shared" si="38"/>
        <v>0</v>
      </c>
    </row>
    <row r="92" spans="2:13" x14ac:dyDescent="0.15">
      <c r="D92" s="148"/>
    </row>
    <row r="94" spans="2:13" ht="13" x14ac:dyDescent="0.15">
      <c r="B94" s="96" t="s">
        <v>337</v>
      </c>
      <c r="D94" s="111">
        <f ca="1">D27*D5</f>
        <v>638560574.02911818</v>
      </c>
      <c r="E94" s="111">
        <f ca="1">E27*E5</f>
        <v>640379442.07236254</v>
      </c>
      <c r="F94" s="111">
        <f ca="1">F27*F5</f>
        <v>638560574.02911818</v>
      </c>
      <c r="G94" s="111">
        <f ca="1">G27*G5</f>
        <v>638560574.02911818</v>
      </c>
      <c r="H94" s="111">
        <f ca="1">H27*H5</f>
        <v>638560574.02911818</v>
      </c>
      <c r="I94" s="111">
        <f ca="1">I27*I5</f>
        <v>640379442.07236254</v>
      </c>
      <c r="J94" s="111">
        <f ca="1">J27*J5</f>
        <v>638560574.02911818</v>
      </c>
      <c r="K94" s="111">
        <f ca="1">K27*K5</f>
        <v>638560574.02911818</v>
      </c>
      <c r="L94" s="111">
        <f ca="1">L27*L5</f>
        <v>638560574.02911818</v>
      </c>
      <c r="M94" s="111">
        <f ca="1">M27*M5</f>
        <v>640379442.07236254</v>
      </c>
    </row>
    <row r="95" spans="2:13" ht="13" x14ac:dyDescent="0.15">
      <c r="B95" s="96" t="s">
        <v>339</v>
      </c>
      <c r="C95" s="89">
        <f>Datos!C10*Datos!C34*1000000</f>
        <v>2799999999.9999995</v>
      </c>
    </row>
    <row r="96" spans="2:13" ht="13" x14ac:dyDescent="0.15">
      <c r="B96" s="147" t="s">
        <v>336</v>
      </c>
      <c r="D96" s="111">
        <f ca="1">D64-D87+D94</f>
        <v>-950980708.91121948</v>
      </c>
      <c r="E96" s="111">
        <f ca="1">E64-E87+E94</f>
        <v>7167286635.2218208</v>
      </c>
      <c r="F96" s="111">
        <f ca="1">F64-F87+F94</f>
        <v>8457703570.2434893</v>
      </c>
      <c r="G96" s="111">
        <f ca="1">G64-G87+G94</f>
        <v>10051501468.587116</v>
      </c>
      <c r="H96" s="111">
        <f ca="1">H64-H87+H94</f>
        <v>2059437342.1100512</v>
      </c>
      <c r="I96" s="111">
        <f ca="1">I64-I87+I94</f>
        <v>13897638272.730829</v>
      </c>
      <c r="J96" s="111">
        <f ca="1">J64-J87+J94</f>
        <v>16184458452.851566</v>
      </c>
      <c r="K96" s="111">
        <f ca="1">K64-K87+K94</f>
        <v>18771429080.878643</v>
      </c>
      <c r="L96" s="111">
        <f ca="1">L64-L87+L94</f>
        <v>21728537372.018764</v>
      </c>
      <c r="M96" s="111">
        <f ca="1">M64-M87+M94</f>
        <v>13877394590.763357</v>
      </c>
    </row>
    <row r="97" spans="2:13" x14ac:dyDescent="0.15">
      <c r="D97" s="111"/>
      <c r="E97" s="111"/>
      <c r="F97" s="111"/>
      <c r="G97" s="111"/>
      <c r="H97" s="111"/>
      <c r="I97" s="111"/>
      <c r="J97" s="111"/>
      <c r="K97" s="111"/>
      <c r="L97" s="111"/>
      <c r="M97" s="111"/>
    </row>
    <row r="98" spans="2:13" ht="13" x14ac:dyDescent="0.15">
      <c r="B98" s="96" t="s">
        <v>340</v>
      </c>
      <c r="D98" s="111">
        <f ca="1">D96</f>
        <v>-950980708.91121948</v>
      </c>
      <c r="E98" s="111">
        <f t="shared" ref="E98:M98" ca="1" si="39">E96</f>
        <v>7167286635.2218208</v>
      </c>
      <c r="F98" s="111">
        <f t="shared" ca="1" si="39"/>
        <v>8457703570.2434893</v>
      </c>
      <c r="G98" s="111">
        <f t="shared" ca="1" si="39"/>
        <v>10051501468.587116</v>
      </c>
      <c r="H98" s="111">
        <f t="shared" ca="1" si="39"/>
        <v>2059437342.1100512</v>
      </c>
      <c r="I98" s="111">
        <f t="shared" ca="1" si="39"/>
        <v>13897638272.730829</v>
      </c>
      <c r="J98" s="111">
        <f t="shared" ca="1" si="39"/>
        <v>16184458452.851566</v>
      </c>
      <c r="K98" s="111">
        <f t="shared" ca="1" si="39"/>
        <v>18771429080.878643</v>
      </c>
      <c r="L98" s="111">
        <f t="shared" ca="1" si="39"/>
        <v>21728537372.018764</v>
      </c>
      <c r="M98" s="111">
        <f t="shared" ca="1" si="39"/>
        <v>13877394590.763357</v>
      </c>
    </row>
    <row r="99" spans="2:13" ht="13" x14ac:dyDescent="0.15">
      <c r="B99" s="96" t="s">
        <v>339</v>
      </c>
      <c r="C99" s="89">
        <f>-C95</f>
        <v>-2799999999.9999995</v>
      </c>
      <c r="D99" s="89">
        <f t="shared" ref="D99:M99" si="40">-D95</f>
        <v>0</v>
      </c>
      <c r="E99" s="89">
        <f t="shared" si="40"/>
        <v>0</v>
      </c>
      <c r="F99" s="89">
        <f t="shared" si="40"/>
        <v>0</v>
      </c>
      <c r="G99" s="89">
        <f t="shared" si="40"/>
        <v>0</v>
      </c>
      <c r="H99" s="89">
        <f t="shared" si="40"/>
        <v>0</v>
      </c>
      <c r="I99" s="89">
        <f t="shared" si="40"/>
        <v>0</v>
      </c>
      <c r="J99" s="89">
        <f t="shared" si="40"/>
        <v>0</v>
      </c>
      <c r="K99" s="89">
        <f t="shared" si="40"/>
        <v>0</v>
      </c>
      <c r="L99" s="89">
        <f t="shared" si="40"/>
        <v>0</v>
      </c>
      <c r="M99" s="89">
        <f t="shared" si="40"/>
        <v>0</v>
      </c>
    </row>
    <row r="100" spans="2:13" ht="13" x14ac:dyDescent="0.15">
      <c r="B100" s="96" t="s">
        <v>210</v>
      </c>
      <c r="C100" s="89">
        <f>C98+C99</f>
        <v>-2799999999.9999995</v>
      </c>
      <c r="D100" s="89">
        <f t="shared" ref="D100:M100" ca="1" si="41">D98+D99</f>
        <v>-950980708.91121948</v>
      </c>
      <c r="E100" s="89">
        <f t="shared" ca="1" si="41"/>
        <v>7167286635.2218208</v>
      </c>
      <c r="F100" s="89">
        <f t="shared" ca="1" si="41"/>
        <v>8457703570.2434893</v>
      </c>
      <c r="G100" s="89">
        <f t="shared" ca="1" si="41"/>
        <v>10051501468.587116</v>
      </c>
      <c r="H100" s="89">
        <f t="shared" ca="1" si="41"/>
        <v>2059437342.1100512</v>
      </c>
      <c r="I100" s="89">
        <f t="shared" ca="1" si="41"/>
        <v>13897638272.730829</v>
      </c>
      <c r="J100" s="89">
        <f t="shared" ca="1" si="41"/>
        <v>16184458452.851566</v>
      </c>
      <c r="K100" s="89">
        <f t="shared" ca="1" si="41"/>
        <v>18771429080.878643</v>
      </c>
      <c r="L100" s="89">
        <f t="shared" ca="1" si="41"/>
        <v>21728537372.018764</v>
      </c>
      <c r="M100" s="89">
        <f t="shared" ca="1" si="41"/>
        <v>13877394590.763357</v>
      </c>
    </row>
    <row r="103" spans="2:13" ht="13" x14ac:dyDescent="0.15">
      <c r="B103" s="96" t="s">
        <v>338</v>
      </c>
      <c r="C103" s="146">
        <f ca="1">IRR(C100:M100)</f>
        <v>1.141110427326363</v>
      </c>
    </row>
  </sheetData>
  <pageMargins left="0.7" right="0.7" top="0.75" bottom="0.75" header="0.3" footer="0.3"/>
  <ignoredErrors>
    <ignoredError sqref="D29 E29:M29" formula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7884-A09F-4BFE-9EFA-217B3276EA37}">
  <dimension ref="A1:P86"/>
  <sheetViews>
    <sheetView showGridLines="0" workbookViewId="0">
      <selection activeCell="D29" sqref="D29"/>
    </sheetView>
  </sheetViews>
  <sheetFormatPr baseColWidth="10" defaultColWidth="11" defaultRowHeight="12" x14ac:dyDescent="0.15"/>
  <cols>
    <col min="1" max="1" width="11" style="82"/>
    <col min="2" max="2" width="37.5" style="96" customWidth="1"/>
    <col min="3" max="3" width="19" style="82" bestFit="1" customWidth="1"/>
    <col min="4" max="4" width="21.6640625" style="82" bestFit="1" customWidth="1"/>
    <col min="5" max="10" width="17.6640625" style="82" bestFit="1" customWidth="1"/>
    <col min="11" max="13" width="18.6640625" style="82" bestFit="1" customWidth="1"/>
    <col min="14" max="14" width="26.6640625" style="82" customWidth="1"/>
    <col min="15" max="15" width="34.5" style="82" bestFit="1" customWidth="1"/>
    <col min="16" max="16" width="17.6640625" style="82" bestFit="1" customWidth="1"/>
    <col min="17" max="16384" width="11" style="82"/>
  </cols>
  <sheetData>
    <row r="1" spans="1:14" s="81" customFormat="1" ht="13" x14ac:dyDescent="0.15">
      <c r="B1" s="98" t="s">
        <v>185</v>
      </c>
      <c r="C1" s="99" t="s">
        <v>261</v>
      </c>
      <c r="D1" s="99" t="s">
        <v>85</v>
      </c>
      <c r="E1" s="99" t="s">
        <v>86</v>
      </c>
      <c r="F1" s="99" t="s">
        <v>87</v>
      </c>
      <c r="G1" s="99" t="s">
        <v>88</v>
      </c>
      <c r="H1" s="99" t="s">
        <v>89</v>
      </c>
      <c r="I1" s="99" t="s">
        <v>90</v>
      </c>
      <c r="J1" s="99" t="s">
        <v>91</v>
      </c>
      <c r="K1" s="99" t="s">
        <v>92</v>
      </c>
      <c r="L1" s="99" t="s">
        <v>93</v>
      </c>
      <c r="M1" s="99" t="s">
        <v>94</v>
      </c>
      <c r="N1" s="99"/>
    </row>
    <row r="2" spans="1:14" ht="13" x14ac:dyDescent="0.15">
      <c r="B2" s="96" t="s">
        <v>95</v>
      </c>
      <c r="C2" s="97">
        <v>0</v>
      </c>
      <c r="D2" s="97">
        <v>1</v>
      </c>
      <c r="E2" s="97">
        <v>2</v>
      </c>
      <c r="F2" s="97">
        <v>3</v>
      </c>
      <c r="G2" s="97">
        <v>4</v>
      </c>
      <c r="H2" s="97">
        <v>5</v>
      </c>
      <c r="I2" s="97">
        <v>6</v>
      </c>
      <c r="J2" s="97">
        <v>7</v>
      </c>
      <c r="K2" s="97">
        <v>8</v>
      </c>
      <c r="L2" s="97">
        <v>9</v>
      </c>
      <c r="M2" s="97">
        <v>10</v>
      </c>
      <c r="N2" s="97"/>
    </row>
    <row r="4" spans="1:14" ht="13" x14ac:dyDescent="0.15">
      <c r="B4" s="102" t="s">
        <v>96</v>
      </c>
      <c r="C4" s="103"/>
      <c r="D4" s="83">
        <v>5.8400000000000001E-2</v>
      </c>
      <c r="E4" s="83">
        <v>6.8400000000000002E-2</v>
      </c>
      <c r="F4" s="83">
        <v>6.5799999999999997E-2</v>
      </c>
      <c r="G4" s="83">
        <v>6.3700000000000007E-2</v>
      </c>
      <c r="H4" s="83">
        <v>6.1749999999999985E-2</v>
      </c>
      <c r="I4" s="83">
        <v>5.8499999999999996E-2</v>
      </c>
      <c r="J4" s="83">
        <v>5.8150000000000007E-2</v>
      </c>
      <c r="K4" s="83">
        <v>5.8800000000000005E-2</v>
      </c>
      <c r="L4" s="83">
        <v>5.8600000000000013E-2</v>
      </c>
      <c r="M4" s="83">
        <v>5.8499999999999996E-2</v>
      </c>
    </row>
    <row r="5" spans="1:14" ht="13" x14ac:dyDescent="0.15">
      <c r="B5" s="100" t="s">
        <v>262</v>
      </c>
      <c r="C5" s="101"/>
      <c r="D5" s="85">
        <v>0.35</v>
      </c>
      <c r="E5" s="85">
        <v>0.35</v>
      </c>
      <c r="F5" s="85">
        <v>0.35</v>
      </c>
      <c r="G5" s="85">
        <v>0.35</v>
      </c>
      <c r="H5" s="85">
        <v>0.35</v>
      </c>
      <c r="I5" s="85">
        <v>0.35</v>
      </c>
      <c r="J5" s="85">
        <v>0.35</v>
      </c>
      <c r="K5" s="85">
        <v>0.35</v>
      </c>
      <c r="L5" s="85">
        <v>0.35</v>
      </c>
      <c r="M5" s="85">
        <v>0.35</v>
      </c>
    </row>
    <row r="7" spans="1:14" x14ac:dyDescent="0.15">
      <c r="D7" s="124"/>
    </row>
    <row r="8" spans="1:14" ht="13" x14ac:dyDescent="0.15">
      <c r="B8" s="96" t="s">
        <v>263</v>
      </c>
      <c r="C8" s="124">
        <f>(D8-'Estado de resultados'!D8)/'Estado de resultados'!D8</f>
        <v>0.11954849936429712</v>
      </c>
      <c r="D8" s="123">
        <v>7277065.2458679313</v>
      </c>
      <c r="E8" s="86">
        <f>D8*(1+D4)*(1+Datos!$C$31)</f>
        <v>8164168.6076002158</v>
      </c>
      <c r="F8" s="86">
        <f>E8*(1+E4)*(1+Datos!$C$31)</f>
        <v>9245953.6047816742</v>
      </c>
      <c r="G8" s="86">
        <f>F8*(1+F4)*(1+Datos!$C$31)</f>
        <v>10445597.593094887</v>
      </c>
      <c r="H8" s="86">
        <f>G8*(1+G4)*(1+Datos!$C$31)</f>
        <v>11777641.089361534</v>
      </c>
      <c r="I8" s="86">
        <f>H8*(1+H4)*(1+Datos!$C$31)</f>
        <v>13255205.052227385</v>
      </c>
      <c r="J8" s="86">
        <f>I8*(1+I4)*(1+Datos!$C$31)</f>
        <v>14872472.620649649</v>
      </c>
      <c r="K8" s="86">
        <f>J8*(1+J4)*(1+Datos!$C$31)</f>
        <v>16681545.317752851</v>
      </c>
      <c r="L8" s="86">
        <f>K8*(1+K4)*(1+Datos!$C$31)</f>
        <v>18722165.393382922</v>
      </c>
      <c r="M8" s="86">
        <f>L8*(1+L4)*(1+Datos!$C$31)</f>
        <v>21008441.342561275</v>
      </c>
    </row>
    <row r="9" spans="1:14" ht="13" x14ac:dyDescent="0.15">
      <c r="B9" s="96" t="s">
        <v>264</v>
      </c>
      <c r="C9" s="109"/>
      <c r="D9" s="86">
        <v>2000000</v>
      </c>
      <c r="E9" s="86">
        <f>D9*(1+D4)*(1+Datos!$C$23)</f>
        <v>2159136</v>
      </c>
      <c r="F9" s="86">
        <f>E9*(1+E4)*(1+Datos!$C$23)</f>
        <v>2352957.320448</v>
      </c>
      <c r="G9" s="86">
        <f>F9*(1+F4)*(1+Datos!$C$23)</f>
        <v>2557937.550376148</v>
      </c>
      <c r="H9" s="86">
        <f>G9*(1+G4)*(1+Datos!$C$23)</f>
        <v>2775295.7357818112</v>
      </c>
      <c r="I9" s="86">
        <f>H9*(1+H4)*(1+Datos!$C$23)</f>
        <v>3005603.6524156649</v>
      </c>
      <c r="J9" s="86">
        <f>I9*(1+I4)*(1+Datos!$C$23)</f>
        <v>3245060.095403621</v>
      </c>
      <c r="K9" s="86">
        <f>J9*(1+J4)*(1+Datos!$C$23)</f>
        <v>3502435.5467503686</v>
      </c>
      <c r="L9" s="86">
        <f>K9*(1+K4)*(1+Datos!$C$23)</f>
        <v>3782546.3320372761</v>
      </c>
      <c r="M9" s="86">
        <f>L9*(1+L4)*(1+Datos!$C$23)</f>
        <v>4084287.6180365537</v>
      </c>
    </row>
    <row r="10" spans="1:14" ht="13" x14ac:dyDescent="0.15">
      <c r="B10" s="100" t="s">
        <v>266</v>
      </c>
      <c r="C10" s="110"/>
      <c r="D10" s="87">
        <v>1000</v>
      </c>
      <c r="E10" s="87">
        <v>1000</v>
      </c>
      <c r="F10" s="87">
        <v>1000</v>
      </c>
      <c r="G10" s="87">
        <v>1500</v>
      </c>
      <c r="H10" s="87">
        <v>1500</v>
      </c>
      <c r="I10" s="87">
        <v>1500</v>
      </c>
      <c r="J10" s="87">
        <v>2500</v>
      </c>
      <c r="K10" s="87">
        <v>2500</v>
      </c>
      <c r="L10" s="87">
        <v>2500</v>
      </c>
      <c r="M10" s="87">
        <v>2500</v>
      </c>
    </row>
    <row r="11" spans="1:14" x14ac:dyDescent="0.15">
      <c r="D11" s="104"/>
      <c r="E11" s="104"/>
      <c r="F11" s="104"/>
      <c r="G11" s="104"/>
      <c r="H11" s="104"/>
      <c r="I11" s="104"/>
      <c r="J11" s="104"/>
      <c r="K11" s="104"/>
      <c r="L11" s="104"/>
      <c r="M11" s="104"/>
    </row>
    <row r="12" spans="1:14" x14ac:dyDescent="0.15">
      <c r="D12" s="104"/>
      <c r="E12" s="104"/>
      <c r="F12" s="104"/>
      <c r="G12" s="104"/>
      <c r="H12" s="104"/>
      <c r="I12" s="104"/>
      <c r="J12" s="104"/>
      <c r="K12" s="104"/>
      <c r="L12" s="104"/>
      <c r="M12" s="104"/>
    </row>
    <row r="13" spans="1:14" x14ac:dyDescent="0.15">
      <c r="D13" s="88"/>
      <c r="E13" s="88"/>
      <c r="F13" s="88"/>
      <c r="G13" s="88"/>
      <c r="H13" s="88"/>
      <c r="I13" s="88"/>
      <c r="J13" s="88"/>
      <c r="K13" s="88"/>
      <c r="L13" s="88"/>
      <c r="M13" s="88"/>
    </row>
    <row r="14" spans="1:14" ht="13" x14ac:dyDescent="0.15">
      <c r="B14" s="105" t="s">
        <v>267</v>
      </c>
      <c r="C14" s="106" t="s">
        <v>261</v>
      </c>
      <c r="D14" s="106" t="s">
        <v>85</v>
      </c>
      <c r="E14" s="106" t="s">
        <v>86</v>
      </c>
      <c r="F14" s="106" t="s">
        <v>87</v>
      </c>
      <c r="G14" s="106" t="s">
        <v>88</v>
      </c>
      <c r="H14" s="106" t="s">
        <v>89</v>
      </c>
      <c r="I14" s="106" t="s">
        <v>90</v>
      </c>
      <c r="J14" s="106" t="s">
        <v>91</v>
      </c>
      <c r="K14" s="106" t="s">
        <v>92</v>
      </c>
      <c r="L14" s="106" t="s">
        <v>93</v>
      </c>
      <c r="M14" s="106" t="s">
        <v>94</v>
      </c>
      <c r="N14" s="106" t="s">
        <v>268</v>
      </c>
    </row>
    <row r="15" spans="1:14" ht="13" x14ac:dyDescent="0.15">
      <c r="A15" s="84">
        <f>D15/$D$15</f>
        <v>1</v>
      </c>
      <c r="B15" s="96" t="s">
        <v>269</v>
      </c>
      <c r="D15" s="86">
        <f>D8*D10</f>
        <v>7277065245.8679314</v>
      </c>
      <c r="E15" s="86">
        <f t="shared" ref="E15:M15" si="0">E8*E10</f>
        <v>8164168607.6002159</v>
      </c>
      <c r="F15" s="86">
        <f t="shared" si="0"/>
        <v>9245953604.7816734</v>
      </c>
      <c r="G15" s="86">
        <f t="shared" si="0"/>
        <v>15668396389.64233</v>
      </c>
      <c r="H15" s="86">
        <f t="shared" si="0"/>
        <v>17666461634.042301</v>
      </c>
      <c r="I15" s="86">
        <f t="shared" si="0"/>
        <v>19882807578.34108</v>
      </c>
      <c r="J15" s="86">
        <f t="shared" si="0"/>
        <v>37181181551.624123</v>
      </c>
      <c r="K15" s="86">
        <f t="shared" si="0"/>
        <v>41703863294.382126</v>
      </c>
      <c r="L15" s="86">
        <f t="shared" si="0"/>
        <v>46805413483.457306</v>
      </c>
      <c r="M15" s="86">
        <f t="shared" si="0"/>
        <v>52521103356.403191</v>
      </c>
    </row>
    <row r="16" spans="1:14" ht="13" x14ac:dyDescent="0.15">
      <c r="A16" s="84">
        <f t="shared" ref="A16:A36" si="1">D16/$D$15</f>
        <v>0.27483606817125095</v>
      </c>
      <c r="B16" s="108" t="s">
        <v>270</v>
      </c>
      <c r="D16" s="86">
        <f>D9*D10</f>
        <v>2000000000</v>
      </c>
      <c r="E16" s="86">
        <f t="shared" ref="E16:M16" si="2">E9*E10</f>
        <v>2159136000</v>
      </c>
      <c r="F16" s="86">
        <f t="shared" si="2"/>
        <v>2352957320.448</v>
      </c>
      <c r="G16" s="86">
        <f t="shared" si="2"/>
        <v>3836906325.5642219</v>
      </c>
      <c r="H16" s="86">
        <f t="shared" si="2"/>
        <v>4162943603.6727166</v>
      </c>
      <c r="I16" s="86">
        <f t="shared" si="2"/>
        <v>4508405478.623497</v>
      </c>
      <c r="J16" s="86">
        <f t="shared" si="2"/>
        <v>8112650238.5090523</v>
      </c>
      <c r="K16" s="86">
        <f t="shared" si="2"/>
        <v>8756088866.8759212</v>
      </c>
      <c r="L16" s="86">
        <f t="shared" si="2"/>
        <v>9456365830.0931911</v>
      </c>
      <c r="M16" s="86">
        <f t="shared" si="2"/>
        <v>10210719045.091385</v>
      </c>
    </row>
    <row r="17" spans="1:13" ht="13" x14ac:dyDescent="0.15">
      <c r="A17" s="84">
        <f t="shared" si="1"/>
        <v>7.0083197383668999E-2</v>
      </c>
      <c r="B17" s="96" t="s">
        <v>271</v>
      </c>
      <c r="D17" s="86">
        <f>Nómina!H3</f>
        <v>510000000</v>
      </c>
      <c r="E17" s="86">
        <f>D17*(1+D4)</f>
        <v>539784000</v>
      </c>
      <c r="F17" s="86">
        <f t="shared" ref="F17:M17" si="3">E17*(1+E4)</f>
        <v>576705225.60000002</v>
      </c>
      <c r="G17" s="86">
        <f t="shared" si="3"/>
        <v>614652429.44448006</v>
      </c>
      <c r="H17" s="86">
        <f t="shared" si="3"/>
        <v>653805789.20009351</v>
      </c>
      <c r="I17" s="86">
        <f t="shared" si="3"/>
        <v>694178296.68319929</v>
      </c>
      <c r="J17" s="86">
        <f t="shared" si="3"/>
        <v>734787727.03916645</v>
      </c>
      <c r="K17" s="86">
        <f t="shared" si="3"/>
        <v>777515633.36649394</v>
      </c>
      <c r="L17" s="86">
        <f t="shared" si="3"/>
        <v>823233552.60844374</v>
      </c>
      <c r="M17" s="86">
        <f t="shared" si="3"/>
        <v>871475038.79129851</v>
      </c>
    </row>
    <row r="18" spans="1:13" ht="13" x14ac:dyDescent="0.15">
      <c r="A18" s="84">
        <f t="shared" si="1"/>
        <v>5.5E-2</v>
      </c>
      <c r="B18" s="96" t="s">
        <v>272</v>
      </c>
      <c r="D18" s="86">
        <f>D15*Datos!$C$21</f>
        <v>400238588.52273625</v>
      </c>
      <c r="E18" s="86">
        <f>E15*Datos!$C$21</f>
        <v>449029273.4180119</v>
      </c>
      <c r="F18" s="86">
        <f>F15*Datos!$C$21</f>
        <v>508527448.26299202</v>
      </c>
      <c r="G18" s="86">
        <f>G15*Datos!$C$21</f>
        <v>861761801.43032813</v>
      </c>
      <c r="H18" s="86">
        <f>H15*Datos!$C$21</f>
        <v>971655389.87232661</v>
      </c>
      <c r="I18" s="86">
        <f>I15*Datos!$C$21</f>
        <v>1093554416.8087595</v>
      </c>
      <c r="J18" s="86">
        <f>J15*Datos!$C$21</f>
        <v>2044964985.3393269</v>
      </c>
      <c r="K18" s="86">
        <f>K15*Datos!$C$21</f>
        <v>2293712481.1910172</v>
      </c>
      <c r="L18" s="86">
        <f>L15*Datos!$C$21</f>
        <v>2574297741.5901518</v>
      </c>
      <c r="M18" s="86">
        <f>M15*Datos!$C$21</f>
        <v>2888660684.6021757</v>
      </c>
    </row>
    <row r="19" spans="1:13" ht="13" x14ac:dyDescent="0.15">
      <c r="A19" s="84">
        <f t="shared" si="1"/>
        <v>0.60008073444508003</v>
      </c>
      <c r="B19" s="98" t="s">
        <v>273</v>
      </c>
      <c r="C19" s="81"/>
      <c r="D19" s="94">
        <f>D15-D16-D17-D18</f>
        <v>4366826657.3451948</v>
      </c>
      <c r="E19" s="94">
        <f t="shared" ref="E19:M19" si="4">E15-E16-E17-E18</f>
        <v>5016219334.1822042</v>
      </c>
      <c r="F19" s="94">
        <f t="shared" si="4"/>
        <v>5807763610.4706812</v>
      </c>
      <c r="G19" s="94">
        <f t="shared" si="4"/>
        <v>10355075833.203299</v>
      </c>
      <c r="H19" s="94">
        <f t="shared" si="4"/>
        <v>11878056851.297165</v>
      </c>
      <c r="I19" s="94">
        <f t="shared" si="4"/>
        <v>13586669386.225624</v>
      </c>
      <c r="J19" s="94">
        <f t="shared" si="4"/>
        <v>26288778600.73658</v>
      </c>
      <c r="K19" s="94">
        <f t="shared" si="4"/>
        <v>29876546312.948692</v>
      </c>
      <c r="L19" s="94">
        <f t="shared" si="4"/>
        <v>33951516359.165516</v>
      </c>
      <c r="M19" s="94">
        <f t="shared" si="4"/>
        <v>38550248587.918335</v>
      </c>
    </row>
    <row r="20" spans="1:13" ht="13" x14ac:dyDescent="0.15">
      <c r="A20" s="84">
        <f t="shared" si="1"/>
        <v>0.17974278858399814</v>
      </c>
      <c r="B20" s="108" t="s">
        <v>274</v>
      </c>
      <c r="D20" s="86">
        <f>Nómina!H4</f>
        <v>1308000000</v>
      </c>
      <c r="E20" s="86">
        <f>D20*(1+D4)</f>
        <v>1384387200</v>
      </c>
      <c r="F20" s="86">
        <f t="shared" ref="F20:L20" si="5">E20*(1+E4)</f>
        <v>1479079284.48</v>
      </c>
      <c r="G20" s="86">
        <f t="shared" si="5"/>
        <v>1576402701.3987842</v>
      </c>
      <c r="H20" s="86">
        <f t="shared" si="5"/>
        <v>1676819553.4778869</v>
      </c>
      <c r="I20" s="86">
        <f t="shared" si="5"/>
        <v>1780363160.9051464</v>
      </c>
      <c r="J20" s="86">
        <f t="shared" si="5"/>
        <v>1884514405.8180974</v>
      </c>
      <c r="K20" s="86">
        <f t="shared" si="5"/>
        <v>1994098918.5164196</v>
      </c>
      <c r="L20" s="86">
        <f t="shared" si="5"/>
        <v>2111351934.925185</v>
      </c>
      <c r="M20" s="86">
        <f>L20*(1+L4)</f>
        <v>2235077158.311801</v>
      </c>
    </row>
    <row r="21" spans="1:13" ht="13" x14ac:dyDescent="0.15">
      <c r="A21" s="84">
        <f t="shared" si="1"/>
        <v>0.25</v>
      </c>
      <c r="B21" s="108" t="s">
        <v>275</v>
      </c>
      <c r="D21" s="86">
        <f>D15*Datos!$C$26</f>
        <v>1819266311.4669828</v>
      </c>
      <c r="E21" s="86">
        <f>E15*Datos!$C$26</f>
        <v>2041042151.900054</v>
      </c>
      <c r="F21" s="86">
        <f>F15*Datos!$C$26</f>
        <v>2311488401.1954184</v>
      </c>
      <c r="G21" s="86">
        <f>G15*Datos!$C$26</f>
        <v>3917099097.4105825</v>
      </c>
      <c r="H21" s="86">
        <f>H15*Datos!$C$26</f>
        <v>4416615408.5105753</v>
      </c>
      <c r="I21" s="86">
        <f>I15*Datos!$C$26</f>
        <v>4970701894.5852699</v>
      </c>
      <c r="J21" s="86">
        <f>J15*Datos!$C$26</f>
        <v>9295295387.9060307</v>
      </c>
      <c r="K21" s="86">
        <f>K15*Datos!$C$26</f>
        <v>10425965823.595531</v>
      </c>
      <c r="L21" s="86">
        <f>L15*Datos!$C$26</f>
        <v>11701353370.864326</v>
      </c>
      <c r="M21" s="86">
        <f>M15*Datos!$C$26</f>
        <v>13130275839.100798</v>
      </c>
    </row>
    <row r="22" spans="1:13" ht="13" x14ac:dyDescent="0.15">
      <c r="A22" s="84">
        <f t="shared" si="1"/>
        <v>0.10990694366168326</v>
      </c>
      <c r="B22" s="96" t="s">
        <v>276</v>
      </c>
      <c r="D22" s="86" cm="1">
        <f t="array" ref="D22:M22">Depreciaciones!B7:K7</f>
        <v>799800000</v>
      </c>
      <c r="E22" s="86">
        <v>799800000</v>
      </c>
      <c r="F22" s="86">
        <v>799800000</v>
      </c>
      <c r="G22" s="86">
        <v>799800000</v>
      </c>
      <c r="H22" s="86">
        <v>799800000</v>
      </c>
      <c r="I22" s="86">
        <v>799800000</v>
      </c>
      <c r="J22" s="86">
        <v>799800000</v>
      </c>
      <c r="K22" s="86">
        <v>799800000</v>
      </c>
      <c r="L22" s="86">
        <v>799800000</v>
      </c>
      <c r="M22" s="86">
        <v>799800000</v>
      </c>
    </row>
    <row r="23" spans="1:13" ht="13" x14ac:dyDescent="0.15">
      <c r="A23" s="84">
        <f t="shared" si="1"/>
        <v>3.8477049543975135E-2</v>
      </c>
      <c r="B23" s="96" t="s">
        <v>119</v>
      </c>
      <c r="D23" s="86" cm="1">
        <f t="array" ref="D23:M23">'Amortización gasto seguro'!B4:K4</f>
        <v>280000000</v>
      </c>
      <c r="E23" s="86">
        <v>280000000</v>
      </c>
      <c r="F23" s="86">
        <v>280000000</v>
      </c>
      <c r="G23" s="86">
        <v>280000000</v>
      </c>
      <c r="H23" s="86">
        <v>280000000</v>
      </c>
      <c r="I23" s="86">
        <v>280000000</v>
      </c>
      <c r="J23" s="86">
        <v>280000000</v>
      </c>
      <c r="K23" s="86">
        <v>280000000</v>
      </c>
      <c r="L23" s="86">
        <v>280000000</v>
      </c>
      <c r="M23" s="86">
        <v>280000000</v>
      </c>
    </row>
    <row r="24" spans="1:13" ht="13" x14ac:dyDescent="0.15">
      <c r="A24" s="84">
        <f t="shared" si="1"/>
        <v>0.01</v>
      </c>
      <c r="B24" s="96" t="s">
        <v>44</v>
      </c>
      <c r="D24" s="86">
        <f>D15*Datos!$C$27</f>
        <v>72770652.458679318</v>
      </c>
      <c r="E24" s="86">
        <f>E15*Datos!$C$27</f>
        <v>81641686.076002166</v>
      </c>
      <c r="F24" s="86">
        <f>F15*Datos!$C$27</f>
        <v>92459536.047816738</v>
      </c>
      <c r="G24" s="86">
        <f>G15*Datos!$C$27</f>
        <v>156683963.89642331</v>
      </c>
      <c r="H24" s="86">
        <f>H15*Datos!$C$27</f>
        <v>176664616.34042302</v>
      </c>
      <c r="I24" s="86">
        <f>I15*Datos!$C$27</f>
        <v>198828075.78341079</v>
      </c>
      <c r="J24" s="86">
        <f>J15*Datos!$C$27</f>
        <v>371811815.51624125</v>
      </c>
      <c r="K24" s="86">
        <f>K15*Datos!$C$27</f>
        <v>417038632.94382125</v>
      </c>
      <c r="L24" s="86">
        <f>L15*Datos!$C$27</f>
        <v>468054134.83457309</v>
      </c>
      <c r="M24" s="86">
        <f>M15*Datos!$C$27</f>
        <v>525211033.5640319</v>
      </c>
    </row>
    <row r="25" spans="1:13" ht="13" x14ac:dyDescent="0.15">
      <c r="A25" s="84">
        <f t="shared" si="1"/>
        <v>1.195395265542345E-2</v>
      </c>
      <c r="B25" s="98" t="s">
        <v>278</v>
      </c>
      <c r="C25" s="81"/>
      <c r="D25" s="94">
        <f t="shared" ref="D25:M25" si="6">D19-D20-D21-D22-D23-D24</f>
        <v>86989693.419532657</v>
      </c>
      <c r="E25" s="94">
        <f t="shared" si="6"/>
        <v>429348296.20614809</v>
      </c>
      <c r="F25" s="94">
        <f t="shared" si="6"/>
        <v>844936388.74744558</v>
      </c>
      <c r="G25" s="94">
        <f t="shared" si="6"/>
        <v>3625090070.497508</v>
      </c>
      <c r="H25" s="94">
        <f t="shared" si="6"/>
        <v>4528157272.9682808</v>
      </c>
      <c r="I25" s="94">
        <f t="shared" si="6"/>
        <v>5556976254.9517975</v>
      </c>
      <c r="J25" s="94">
        <f t="shared" si="6"/>
        <v>13657356991.496212</v>
      </c>
      <c r="K25" s="94">
        <f t="shared" si="6"/>
        <v>15959642937.892921</v>
      </c>
      <c r="L25" s="94">
        <f t="shared" si="6"/>
        <v>18590956918.541431</v>
      </c>
      <c r="M25" s="94">
        <f t="shared" si="6"/>
        <v>21579884556.941704</v>
      </c>
    </row>
    <row r="26" spans="1:13" ht="13" x14ac:dyDescent="0.15">
      <c r="A26" s="84">
        <f t="shared" ca="1" si="1"/>
        <v>0.25071353922191408</v>
      </c>
      <c r="B26" s="96" t="s">
        <v>279</v>
      </c>
      <c r="D26" s="86" cm="1">
        <f t="array" aca="1" ref="D26:M26" ca="1">TRANSPOSE(Bonos!G27:G36)*1000000</f>
        <v>1824458782.9403377</v>
      </c>
      <c r="E26" s="86">
        <f ca="1"/>
        <v>1829655548.7781789</v>
      </c>
      <c r="F26" s="86">
        <f ca="1"/>
        <v>1824458782.9403377</v>
      </c>
      <c r="G26" s="86">
        <f ca="1"/>
        <v>1824458782.9403377</v>
      </c>
      <c r="H26" s="86">
        <f ca="1"/>
        <v>1824458782.9403377</v>
      </c>
      <c r="I26" s="86">
        <f ca="1"/>
        <v>1829655548.7781789</v>
      </c>
      <c r="J26" s="86">
        <f ca="1"/>
        <v>1824458782.9403377</v>
      </c>
      <c r="K26" s="86">
        <f ca="1"/>
        <v>1824458782.9403377</v>
      </c>
      <c r="L26" s="86">
        <f ca="1"/>
        <v>1824458782.9403377</v>
      </c>
      <c r="M26" s="86">
        <f ca="1"/>
        <v>1829655548.7781789</v>
      </c>
    </row>
    <row r="27" spans="1:13" ht="13" x14ac:dyDescent="0.15">
      <c r="A27" s="84">
        <f t="shared" ca="1" si="1"/>
        <v>-0.23875958656649066</v>
      </c>
      <c r="B27" s="98" t="s">
        <v>280</v>
      </c>
      <c r="C27" s="81"/>
      <c r="D27" s="94">
        <f ca="1">D25-D26</f>
        <v>-1737469089.5208049</v>
      </c>
      <c r="E27" s="94">
        <f t="shared" ref="E27:M27" ca="1" si="7">E25-E26</f>
        <v>-1400307252.5720308</v>
      </c>
      <c r="F27" s="94">
        <f t="shared" ca="1" si="7"/>
        <v>-979522394.19289207</v>
      </c>
      <c r="G27" s="94">
        <f t="shared" ca="1" si="7"/>
        <v>1800631287.5571704</v>
      </c>
      <c r="H27" s="94">
        <f t="shared" ca="1" si="7"/>
        <v>2703698490.0279431</v>
      </c>
      <c r="I27" s="94">
        <f t="shared" ca="1" si="7"/>
        <v>3727320706.1736183</v>
      </c>
      <c r="J27" s="94">
        <f t="shared" ca="1" si="7"/>
        <v>11832898208.555874</v>
      </c>
      <c r="K27" s="94">
        <f t="shared" ca="1" si="7"/>
        <v>14135184154.952583</v>
      </c>
      <c r="L27" s="94">
        <f t="shared" ca="1" si="7"/>
        <v>16766498135.601093</v>
      </c>
      <c r="M27" s="94">
        <f t="shared" ca="1" si="7"/>
        <v>19750229008.163525</v>
      </c>
    </row>
    <row r="28" spans="1:13" ht="13" x14ac:dyDescent="0.15">
      <c r="A28" s="84">
        <f t="shared" ca="1" si="1"/>
        <v>0</v>
      </c>
      <c r="B28" s="96" t="s">
        <v>281</v>
      </c>
      <c r="D28" s="86">
        <f t="shared" ref="D28:M28" ca="1" si="8">IF(D27&lt;0,0,D27*D5)</f>
        <v>0</v>
      </c>
      <c r="E28" s="86">
        <f t="shared" ca="1" si="8"/>
        <v>0</v>
      </c>
      <c r="F28" s="86">
        <f t="shared" ca="1" si="8"/>
        <v>0</v>
      </c>
      <c r="G28" s="86">
        <f t="shared" ca="1" si="8"/>
        <v>630220950.64500964</v>
      </c>
      <c r="H28" s="86">
        <f t="shared" ca="1" si="8"/>
        <v>946294471.50978005</v>
      </c>
      <c r="I28" s="86">
        <f t="shared" ca="1" si="8"/>
        <v>1304562247.1607664</v>
      </c>
      <c r="J28" s="86">
        <f t="shared" ca="1" si="8"/>
        <v>4141514372.9945555</v>
      </c>
      <c r="K28" s="86">
        <f t="shared" ca="1" si="8"/>
        <v>4947314454.2334042</v>
      </c>
      <c r="L28" s="86">
        <f t="shared" ca="1" si="8"/>
        <v>5868274347.4603825</v>
      </c>
      <c r="M28" s="86">
        <f t="shared" ca="1" si="8"/>
        <v>6912580152.857233</v>
      </c>
    </row>
    <row r="29" spans="1:13" ht="13" x14ac:dyDescent="0.15">
      <c r="A29" s="84">
        <f t="shared" ca="1" si="1"/>
        <v>-0.23875958656649066</v>
      </c>
      <c r="B29" s="98" t="s">
        <v>282</v>
      </c>
      <c r="C29" s="81"/>
      <c r="D29" s="94">
        <f ca="1">D27-D28</f>
        <v>-1737469089.5208049</v>
      </c>
      <c r="E29" s="94">
        <f t="shared" ref="E29:M29" ca="1" si="9">E27-E28</f>
        <v>-1400307252.5720308</v>
      </c>
      <c r="F29" s="94">
        <f t="shared" ca="1" si="9"/>
        <v>-979522394.19289207</v>
      </c>
      <c r="G29" s="94">
        <f t="shared" ca="1" si="9"/>
        <v>1170410336.9121609</v>
      </c>
      <c r="H29" s="94">
        <f t="shared" ca="1" si="9"/>
        <v>1757404018.5181632</v>
      </c>
      <c r="I29" s="94">
        <f t="shared" ca="1" si="9"/>
        <v>2422758459.0128517</v>
      </c>
      <c r="J29" s="94">
        <f t="shared" ca="1" si="9"/>
        <v>7691383835.5613184</v>
      </c>
      <c r="K29" s="94">
        <f t="shared" ca="1" si="9"/>
        <v>9187869700.7191792</v>
      </c>
      <c r="L29" s="94">
        <f t="shared" ca="1" si="9"/>
        <v>10898223788.140711</v>
      </c>
      <c r="M29" s="94">
        <f t="shared" ca="1" si="9"/>
        <v>12837648855.306292</v>
      </c>
    </row>
    <row r="30" spans="1:13" x14ac:dyDescent="0.15">
      <c r="A30" s="84"/>
      <c r="D30" s="86"/>
      <c r="E30" s="86"/>
      <c r="F30" s="86"/>
      <c r="G30" s="86"/>
      <c r="H30" s="86"/>
      <c r="I30" s="86"/>
      <c r="J30" s="86"/>
      <c r="K30" s="86"/>
      <c r="L30" s="86"/>
      <c r="M30" s="86"/>
    </row>
    <row r="31" spans="1:13" ht="13" x14ac:dyDescent="0.15">
      <c r="A31" s="84"/>
      <c r="B31" s="98" t="s">
        <v>283</v>
      </c>
      <c r="C31" s="81"/>
      <c r="D31" s="94">
        <f>D25+D22+D23</f>
        <v>1166789693.4195328</v>
      </c>
      <c r="E31" s="94">
        <f>E25+E22+E23</f>
        <v>1509148296.2061481</v>
      </c>
      <c r="F31" s="94">
        <f t="shared" ref="F31:M31" si="10">F25+F22+F23</f>
        <v>1924736388.7474456</v>
      </c>
      <c r="G31" s="94">
        <f t="shared" si="10"/>
        <v>4704890070.497508</v>
      </c>
      <c r="H31" s="94">
        <f t="shared" si="10"/>
        <v>5607957272.9682808</v>
      </c>
      <c r="I31" s="94">
        <f t="shared" si="10"/>
        <v>6636776254.9517975</v>
      </c>
      <c r="J31" s="94">
        <f t="shared" si="10"/>
        <v>14737156991.496212</v>
      </c>
      <c r="K31" s="94">
        <f t="shared" si="10"/>
        <v>17039442937.892921</v>
      </c>
      <c r="L31" s="94">
        <f t="shared" si="10"/>
        <v>19670756918.541431</v>
      </c>
      <c r="M31" s="94">
        <f t="shared" si="10"/>
        <v>22659684556.941704</v>
      </c>
    </row>
    <row r="32" spans="1:13" x14ac:dyDescent="0.15">
      <c r="A32" s="84"/>
      <c r="D32" s="111"/>
    </row>
    <row r="33" spans="1:16" ht="13" x14ac:dyDescent="0.15">
      <c r="A33" s="84">
        <f t="shared" si="1"/>
        <v>0.125</v>
      </c>
      <c r="B33" s="108" t="s">
        <v>284</v>
      </c>
      <c r="D33" s="86">
        <f>(Datos!$C$28/360)*'Breakeven Precio'!D15</f>
        <v>909633155.73349142</v>
      </c>
      <c r="E33" s="86">
        <f>(Datos!$C$28/360)*'Breakeven Precio'!E15</f>
        <v>1020521075.950027</v>
      </c>
      <c r="F33" s="86">
        <f>(Datos!$C$28/360)*'Breakeven Precio'!F15</f>
        <v>1155744200.5977092</v>
      </c>
      <c r="G33" s="86">
        <f>(Datos!$C$28/360)*'Breakeven Precio'!G15</f>
        <v>1958549548.7052913</v>
      </c>
      <c r="H33" s="86">
        <f>(Datos!$C$28/360)*'Breakeven Precio'!H15</f>
        <v>2208307704.2552876</v>
      </c>
      <c r="I33" s="86">
        <f>(Datos!$C$28/360)*'Breakeven Precio'!I15</f>
        <v>2485350947.292635</v>
      </c>
      <c r="J33" s="86">
        <f>(Datos!$C$28/360)*'Breakeven Precio'!J15</f>
        <v>4647647693.9530153</v>
      </c>
      <c r="K33" s="86">
        <f>(Datos!$C$28/360)*'Breakeven Precio'!K15</f>
        <v>5212982911.7977657</v>
      </c>
      <c r="L33" s="86">
        <f>(Datos!$C$28/360)*'Breakeven Precio'!L15</f>
        <v>5850676685.4321632</v>
      </c>
      <c r="M33" s="86">
        <f>(Datos!$C$28/360)*'Breakeven Precio'!M15</f>
        <v>6565137919.5503988</v>
      </c>
    </row>
    <row r="34" spans="1:16" ht="13" x14ac:dyDescent="0.15">
      <c r="A34" s="84"/>
      <c r="B34" s="98" t="s">
        <v>285</v>
      </c>
      <c r="D34" s="86">
        <f>D33</f>
        <v>909633155.73349142</v>
      </c>
      <c r="E34" s="86">
        <f t="shared" ref="E34:M34" si="11">E33</f>
        <v>1020521075.950027</v>
      </c>
      <c r="F34" s="86">
        <f t="shared" si="11"/>
        <v>1155744200.5977092</v>
      </c>
      <c r="G34" s="86">
        <f t="shared" si="11"/>
        <v>1958549548.7052913</v>
      </c>
      <c r="H34" s="86">
        <f t="shared" si="11"/>
        <v>2208307704.2552876</v>
      </c>
      <c r="I34" s="86">
        <f t="shared" si="11"/>
        <v>2485350947.292635</v>
      </c>
      <c r="J34" s="86">
        <f t="shared" si="11"/>
        <v>4647647693.9530153</v>
      </c>
      <c r="K34" s="86">
        <f t="shared" si="11"/>
        <v>5212982911.7977657</v>
      </c>
      <c r="L34" s="86">
        <f t="shared" si="11"/>
        <v>5850676685.4321632</v>
      </c>
      <c r="M34" s="86">
        <f t="shared" si="11"/>
        <v>6565137919.5503988</v>
      </c>
    </row>
    <row r="35" spans="1:16" ht="13" x14ac:dyDescent="0.15">
      <c r="A35" s="84">
        <f t="shared" si="1"/>
        <v>0</v>
      </c>
      <c r="B35" s="108" t="s">
        <v>286</v>
      </c>
      <c r="D35" s="86">
        <f>(Datos!$C$29/360)*'Breakeven Precio'!D16</f>
        <v>0</v>
      </c>
      <c r="E35" s="86">
        <f>(Datos!$C$29/360)*'Breakeven Precio'!E16</f>
        <v>0</v>
      </c>
      <c r="F35" s="86">
        <f>(Datos!$C$29/360)*'Breakeven Precio'!F16</f>
        <v>0</v>
      </c>
      <c r="G35" s="86">
        <f>(Datos!$C$29/360)*'Breakeven Precio'!G16</f>
        <v>0</v>
      </c>
      <c r="H35" s="86">
        <f>(Datos!$C$29/360)*'Breakeven Precio'!H16</f>
        <v>0</v>
      </c>
      <c r="I35" s="86">
        <f>(Datos!$C$29/360)*'Breakeven Precio'!I16</f>
        <v>0</v>
      </c>
      <c r="J35" s="86">
        <f>(Datos!$C$29/360)*'Breakeven Precio'!J16</f>
        <v>0</v>
      </c>
      <c r="K35" s="86">
        <f>(Datos!$C$29/360)*'Breakeven Precio'!K16</f>
        <v>0</v>
      </c>
      <c r="L35" s="86">
        <f>(Datos!$C$29/360)*'Breakeven Precio'!L16</f>
        <v>0</v>
      </c>
      <c r="M35" s="86">
        <f>(Datos!$C$29/360)*'Breakeven Precio'!M16</f>
        <v>0</v>
      </c>
    </row>
    <row r="36" spans="1:16" ht="13" x14ac:dyDescent="0.15">
      <c r="A36" s="84">
        <f t="shared" ca="1" si="1"/>
        <v>0</v>
      </c>
      <c r="B36" s="96" t="s">
        <v>287</v>
      </c>
      <c r="D36" s="86">
        <f ca="1">D28</f>
        <v>0</v>
      </c>
      <c r="E36" s="86">
        <f t="shared" ref="E36:M36" ca="1" si="12">E28</f>
        <v>0</v>
      </c>
      <c r="F36" s="86">
        <f t="shared" ca="1" si="12"/>
        <v>0</v>
      </c>
      <c r="G36" s="86">
        <f t="shared" ca="1" si="12"/>
        <v>630220950.64500964</v>
      </c>
      <c r="H36" s="86">
        <f t="shared" ca="1" si="12"/>
        <v>946294471.50978005</v>
      </c>
      <c r="I36" s="86">
        <f t="shared" ca="1" si="12"/>
        <v>1304562247.1607664</v>
      </c>
      <c r="J36" s="86">
        <f t="shared" ca="1" si="12"/>
        <v>4141514372.9945555</v>
      </c>
      <c r="K36" s="86">
        <f t="shared" ca="1" si="12"/>
        <v>4947314454.2334042</v>
      </c>
      <c r="L36" s="86">
        <f t="shared" ca="1" si="12"/>
        <v>5868274347.4603825</v>
      </c>
      <c r="M36" s="86">
        <f t="shared" ca="1" si="12"/>
        <v>6912580152.857233</v>
      </c>
    </row>
    <row r="37" spans="1:16" ht="13" x14ac:dyDescent="0.15">
      <c r="A37" s="84"/>
      <c r="B37" s="98" t="s">
        <v>288</v>
      </c>
      <c r="C37" s="81"/>
      <c r="D37" s="94">
        <f ca="1">D34-D35-D36</f>
        <v>909633155.73349142</v>
      </c>
      <c r="E37" s="94">
        <f ca="1">E34-E35-E36</f>
        <v>1020521075.950027</v>
      </c>
      <c r="F37" s="94">
        <f t="shared" ref="F37:M37" ca="1" si="13">F34-F35-F36</f>
        <v>1155744200.5977092</v>
      </c>
      <c r="G37" s="94">
        <f t="shared" ca="1" si="13"/>
        <v>1328328598.0602818</v>
      </c>
      <c r="H37" s="94">
        <f t="shared" ca="1" si="13"/>
        <v>1262013232.7455077</v>
      </c>
      <c r="I37" s="94">
        <f t="shared" ca="1" si="13"/>
        <v>1180788700.1318686</v>
      </c>
      <c r="J37" s="94">
        <f t="shared" ca="1" si="13"/>
        <v>506133320.95845985</v>
      </c>
      <c r="K37" s="94">
        <f t="shared" ca="1" si="13"/>
        <v>265668457.56436157</v>
      </c>
      <c r="L37" s="94">
        <f t="shared" ca="1" si="13"/>
        <v>-17597662.028219223</v>
      </c>
      <c r="M37" s="94">
        <f t="shared" ca="1" si="13"/>
        <v>-347442233.30683422</v>
      </c>
      <c r="O37" s="82" t="s">
        <v>289</v>
      </c>
      <c r="P37" s="90">
        <v>0.3</v>
      </c>
    </row>
    <row r="38" spans="1:16" ht="13" x14ac:dyDescent="0.15">
      <c r="A38" s="84"/>
      <c r="B38" s="98" t="s">
        <v>290</v>
      </c>
      <c r="C38" s="81"/>
      <c r="D38" s="94">
        <f ca="1">D37</f>
        <v>909633155.73349142</v>
      </c>
      <c r="E38" s="94">
        <f ca="1">E37-D37</f>
        <v>110887920.21653557</v>
      </c>
      <c r="F38" s="94">
        <f t="shared" ref="F38:M38" ca="1" si="14">F37-E37</f>
        <v>135223124.64768219</v>
      </c>
      <c r="G38" s="94">
        <f t="shared" ca="1" si="14"/>
        <v>172584397.46257257</v>
      </c>
      <c r="H38" s="94">
        <f t="shared" ca="1" si="14"/>
        <v>-66315365.314774036</v>
      </c>
      <c r="I38" s="94">
        <f t="shared" ca="1" si="14"/>
        <v>-81224532.613639116</v>
      </c>
      <c r="J38" s="94">
        <f t="shared" ca="1" si="14"/>
        <v>-674655379.17340875</v>
      </c>
      <c r="K38" s="94">
        <f t="shared" ca="1" si="14"/>
        <v>-240464863.39409828</v>
      </c>
      <c r="L38" s="94">
        <f t="shared" ca="1" si="14"/>
        <v>-283266119.5925808</v>
      </c>
      <c r="M38" s="94">
        <f t="shared" ca="1" si="14"/>
        <v>-329844571.278615</v>
      </c>
      <c r="O38" s="82" t="s">
        <v>291</v>
      </c>
      <c r="P38" s="90">
        <v>0.105</v>
      </c>
    </row>
    <row r="39" spans="1:16" x14ac:dyDescent="0.15">
      <c r="A39" s="84"/>
      <c r="D39" s="86"/>
      <c r="E39" s="86"/>
      <c r="F39" s="86"/>
      <c r="G39" s="86"/>
      <c r="H39" s="86"/>
      <c r="I39" s="86"/>
      <c r="J39" s="86"/>
      <c r="K39" s="86"/>
      <c r="L39" s="86"/>
      <c r="M39" s="86"/>
      <c r="O39" s="82" t="s">
        <v>292</v>
      </c>
      <c r="P39" s="90">
        <v>0.15</v>
      </c>
    </row>
    <row r="40" spans="1:16" ht="13" x14ac:dyDescent="0.15">
      <c r="A40" s="84"/>
      <c r="B40" s="96" t="s">
        <v>293</v>
      </c>
      <c r="C40" s="94">
        <f>Datos!C10*1000000</f>
        <v>14000000000</v>
      </c>
      <c r="D40" s="86">
        <f>C40</f>
        <v>14000000000</v>
      </c>
      <c r="E40" s="86">
        <f t="shared" ref="E40:M40" si="15">D40</f>
        <v>14000000000</v>
      </c>
      <c r="F40" s="86">
        <f t="shared" si="15"/>
        <v>14000000000</v>
      </c>
      <c r="G40" s="86">
        <f t="shared" si="15"/>
        <v>14000000000</v>
      </c>
      <c r="H40" s="86">
        <f t="shared" si="15"/>
        <v>14000000000</v>
      </c>
      <c r="I40" s="86">
        <f t="shared" si="15"/>
        <v>14000000000</v>
      </c>
      <c r="J40" s="86">
        <f t="shared" si="15"/>
        <v>14000000000</v>
      </c>
      <c r="K40" s="86">
        <f t="shared" si="15"/>
        <v>14000000000</v>
      </c>
      <c r="L40" s="86">
        <f t="shared" si="15"/>
        <v>14000000000</v>
      </c>
      <c r="M40" s="86">
        <f t="shared" si="15"/>
        <v>14000000000</v>
      </c>
    </row>
    <row r="41" spans="1:16" ht="13" x14ac:dyDescent="0.15">
      <c r="A41" s="84"/>
      <c r="B41" s="96" t="s">
        <v>294</v>
      </c>
      <c r="D41" s="86">
        <f>D22</f>
        <v>799800000</v>
      </c>
      <c r="E41" s="86">
        <f t="shared" ref="E41:M41" si="16">E22</f>
        <v>799800000</v>
      </c>
      <c r="F41" s="86">
        <f t="shared" si="16"/>
        <v>799800000</v>
      </c>
      <c r="G41" s="86">
        <f t="shared" si="16"/>
        <v>799800000</v>
      </c>
      <c r="H41" s="86">
        <f t="shared" si="16"/>
        <v>799800000</v>
      </c>
      <c r="I41" s="86">
        <f t="shared" si="16"/>
        <v>799800000</v>
      </c>
      <c r="J41" s="86">
        <f t="shared" si="16"/>
        <v>799800000</v>
      </c>
      <c r="K41" s="86">
        <f t="shared" si="16"/>
        <v>799800000</v>
      </c>
      <c r="L41" s="86">
        <f t="shared" si="16"/>
        <v>799800000</v>
      </c>
      <c r="M41" s="86">
        <f t="shared" si="16"/>
        <v>799800000</v>
      </c>
      <c r="O41" s="82" t="s">
        <v>295</v>
      </c>
      <c r="P41" s="91">
        <f>Datos!$C$10*1000000*P37</f>
        <v>4200000000</v>
      </c>
    </row>
    <row r="42" spans="1:16" ht="13" x14ac:dyDescent="0.15">
      <c r="A42" s="84"/>
      <c r="B42" s="98" t="s">
        <v>296</v>
      </c>
      <c r="C42" s="81"/>
      <c r="D42" s="94">
        <f>D40-D41</f>
        <v>13200200000</v>
      </c>
      <c r="E42" s="94">
        <f>D42-E41</f>
        <v>12400400000</v>
      </c>
      <c r="F42" s="94">
        <f t="shared" ref="F42:M42" si="17">E42-F41</f>
        <v>11600600000</v>
      </c>
      <c r="G42" s="94">
        <f t="shared" si="17"/>
        <v>10800800000</v>
      </c>
      <c r="H42" s="94">
        <f t="shared" si="17"/>
        <v>10001000000</v>
      </c>
      <c r="I42" s="94">
        <f t="shared" si="17"/>
        <v>9201200000</v>
      </c>
      <c r="J42" s="94">
        <f t="shared" si="17"/>
        <v>8401400000</v>
      </c>
      <c r="K42" s="94">
        <f t="shared" si="17"/>
        <v>7601600000</v>
      </c>
      <c r="L42" s="94">
        <f t="shared" si="17"/>
        <v>6801800000</v>
      </c>
      <c r="M42" s="94">
        <f t="shared" si="17"/>
        <v>6002000000</v>
      </c>
      <c r="N42" s="86"/>
      <c r="O42" s="82" t="s">
        <v>297</v>
      </c>
      <c r="P42" s="89">
        <f>M42</f>
        <v>6002000000</v>
      </c>
    </row>
    <row r="43" spans="1:16" x14ac:dyDescent="0.15">
      <c r="A43" s="84"/>
      <c r="B43" s="98"/>
      <c r="C43" s="81"/>
      <c r="D43" s="94"/>
      <c r="E43" s="94"/>
      <c r="F43" s="94"/>
      <c r="G43" s="94"/>
      <c r="H43" s="94"/>
      <c r="I43" s="94"/>
      <c r="J43" s="94"/>
      <c r="K43" s="94"/>
      <c r="L43" s="94"/>
      <c r="M43" s="94"/>
      <c r="O43" s="82" t="s">
        <v>282</v>
      </c>
      <c r="P43" s="91">
        <f>P41-P42</f>
        <v>-1802000000</v>
      </c>
    </row>
    <row r="44" spans="1:16" ht="13" x14ac:dyDescent="0.15">
      <c r="A44" s="84"/>
      <c r="B44" s="98" t="s">
        <v>298</v>
      </c>
      <c r="C44" s="81"/>
      <c r="D44" s="94">
        <f ca="1">D42+D37</f>
        <v>14109833155.733492</v>
      </c>
      <c r="E44" s="94">
        <f ca="1">E42+E37</f>
        <v>13420921075.950027</v>
      </c>
      <c r="F44" s="94">
        <f t="shared" ref="F44:L44" ca="1" si="18">F42+F37</f>
        <v>12756344200.59771</v>
      </c>
      <c r="G44" s="94">
        <f t="shared" ca="1" si="18"/>
        <v>12129128598.060282</v>
      </c>
      <c r="H44" s="94">
        <f t="shared" ca="1" si="18"/>
        <v>11263013232.745508</v>
      </c>
      <c r="I44" s="94">
        <f t="shared" ca="1" si="18"/>
        <v>10381988700.131868</v>
      </c>
      <c r="J44" s="94">
        <f t="shared" ca="1" si="18"/>
        <v>8907533320.9584599</v>
      </c>
      <c r="K44" s="94">
        <f t="shared" ca="1" si="18"/>
        <v>7867268457.5643616</v>
      </c>
      <c r="L44" s="94">
        <f t="shared" ca="1" si="18"/>
        <v>6784202337.9717808</v>
      </c>
      <c r="M44" s="94">
        <f ca="1">M42+M37</f>
        <v>5654557766.6931658</v>
      </c>
      <c r="O44" s="82" t="s">
        <v>299</v>
      </c>
      <c r="P44" s="82">
        <f>IF(P43&lt;0,0,P43*P39)</f>
        <v>0</v>
      </c>
    </row>
    <row r="45" spans="1:16" x14ac:dyDescent="0.15">
      <c r="B45" s="98"/>
      <c r="D45" s="89"/>
      <c r="E45" s="89"/>
      <c r="F45" s="89"/>
      <c r="G45" s="89"/>
      <c r="H45" s="89"/>
      <c r="I45" s="89"/>
      <c r="J45" s="89"/>
      <c r="K45" s="89"/>
      <c r="L45" s="89"/>
      <c r="M45" s="89"/>
    </row>
    <row r="46" spans="1:16" x14ac:dyDescent="0.15">
      <c r="O46" s="82" t="s">
        <v>300</v>
      </c>
      <c r="P46" s="91">
        <f>P41-P44</f>
        <v>4200000000</v>
      </c>
    </row>
    <row r="47" spans="1:16" ht="13" x14ac:dyDescent="0.15">
      <c r="B47" s="105" t="s">
        <v>301</v>
      </c>
      <c r="C47" s="107" t="s">
        <v>261</v>
      </c>
      <c r="D47" s="107" t="s">
        <v>85</v>
      </c>
      <c r="E47" s="107" t="s">
        <v>86</v>
      </c>
      <c r="F47" s="107" t="s">
        <v>87</v>
      </c>
      <c r="G47" s="107" t="s">
        <v>88</v>
      </c>
      <c r="H47" s="107" t="s">
        <v>89</v>
      </c>
      <c r="I47" s="107" t="s">
        <v>90</v>
      </c>
      <c r="J47" s="107" t="s">
        <v>91</v>
      </c>
      <c r="K47" s="107" t="s">
        <v>92</v>
      </c>
      <c r="L47" s="107" t="s">
        <v>93</v>
      </c>
      <c r="M47" s="107" t="s">
        <v>94</v>
      </c>
      <c r="N47" s="107" t="s">
        <v>268</v>
      </c>
      <c r="O47" s="82" t="s">
        <v>302</v>
      </c>
      <c r="P47" s="91">
        <f>Datos!$C$10*'Breakeven Precio'!P38*1000000</f>
        <v>1470000000</v>
      </c>
    </row>
    <row r="48" spans="1:16" ht="13" x14ac:dyDescent="0.15">
      <c r="B48" s="96" t="s">
        <v>278</v>
      </c>
      <c r="C48" s="86"/>
      <c r="D48" s="86">
        <f>D25</f>
        <v>86989693.419532657</v>
      </c>
      <c r="E48" s="86">
        <f t="shared" ref="E48:M48" si="19">E25</f>
        <v>429348296.20614809</v>
      </c>
      <c r="F48" s="86">
        <f t="shared" si="19"/>
        <v>844936388.74744558</v>
      </c>
      <c r="G48" s="86">
        <f t="shared" si="19"/>
        <v>3625090070.497508</v>
      </c>
      <c r="H48" s="86">
        <f t="shared" si="19"/>
        <v>4528157272.9682808</v>
      </c>
      <c r="I48" s="86">
        <f t="shared" si="19"/>
        <v>5556976254.9517975</v>
      </c>
      <c r="J48" s="86">
        <f t="shared" si="19"/>
        <v>13657356991.496212</v>
      </c>
      <c r="K48" s="86">
        <f t="shared" si="19"/>
        <v>15959642937.892921</v>
      </c>
      <c r="L48" s="86">
        <f t="shared" si="19"/>
        <v>18590956918.541431</v>
      </c>
      <c r="M48" s="86">
        <f t="shared" si="19"/>
        <v>21579884556.941704</v>
      </c>
      <c r="O48" s="82" t="s">
        <v>303</v>
      </c>
      <c r="P48" s="91">
        <f>P46-P47</f>
        <v>2730000000</v>
      </c>
    </row>
    <row r="49" spans="2:14" ht="13" x14ac:dyDescent="0.15">
      <c r="B49" s="96" t="s">
        <v>304</v>
      </c>
      <c r="C49" s="86"/>
      <c r="D49" s="86">
        <f t="shared" ref="D49:M49" si="20">IF(D48&lt;0,0,D48*D5)</f>
        <v>30446392.696836427</v>
      </c>
      <c r="E49" s="86">
        <f t="shared" si="20"/>
        <v>150271903.67215183</v>
      </c>
      <c r="F49" s="86">
        <f t="shared" si="20"/>
        <v>295727736.06160593</v>
      </c>
      <c r="G49" s="86">
        <f t="shared" si="20"/>
        <v>1268781524.6741278</v>
      </c>
      <c r="H49" s="86">
        <f t="shared" si="20"/>
        <v>1584855045.5388982</v>
      </c>
      <c r="I49" s="86">
        <f t="shared" si="20"/>
        <v>1944941689.233129</v>
      </c>
      <c r="J49" s="86">
        <f t="shared" si="20"/>
        <v>4780074947.023674</v>
      </c>
      <c r="K49" s="86">
        <f t="shared" si="20"/>
        <v>5585875028.2625217</v>
      </c>
      <c r="L49" s="86">
        <f t="shared" si="20"/>
        <v>6506834921.489501</v>
      </c>
      <c r="M49" s="86">
        <f t="shared" si="20"/>
        <v>7552959594.9295959</v>
      </c>
    </row>
    <row r="50" spans="2:14" s="81" customFormat="1" ht="13" x14ac:dyDescent="0.15">
      <c r="B50" s="98" t="s">
        <v>305</v>
      </c>
      <c r="C50" s="94"/>
      <c r="D50" s="94">
        <f>D48-D49</f>
        <v>56543300.72269623</v>
      </c>
      <c r="E50" s="94">
        <f t="shared" ref="E50:M50" si="21">E48-E49</f>
        <v>279076392.53399622</v>
      </c>
      <c r="F50" s="94">
        <f t="shared" si="21"/>
        <v>549208652.68583965</v>
      </c>
      <c r="G50" s="94">
        <f t="shared" si="21"/>
        <v>2356308545.8233805</v>
      </c>
      <c r="H50" s="94">
        <f t="shared" si="21"/>
        <v>2943302227.4293823</v>
      </c>
      <c r="I50" s="94">
        <f t="shared" si="21"/>
        <v>3612034565.7186685</v>
      </c>
      <c r="J50" s="94">
        <f t="shared" si="21"/>
        <v>8877282044.472538</v>
      </c>
      <c r="K50" s="94">
        <f t="shared" si="21"/>
        <v>10373767909.6304</v>
      </c>
      <c r="L50" s="94">
        <f t="shared" si="21"/>
        <v>12084121997.051929</v>
      </c>
      <c r="M50" s="94">
        <f t="shared" si="21"/>
        <v>14026924962.012108</v>
      </c>
    </row>
    <row r="51" spans="2:14" ht="13" x14ac:dyDescent="0.15">
      <c r="B51" s="96" t="s">
        <v>306</v>
      </c>
      <c r="C51" s="86"/>
      <c r="D51" s="86" cm="1">
        <f t="array" ref="D51:M51">_xlfn.ANCHORARRAY(D22)</f>
        <v>799800000</v>
      </c>
      <c r="E51" s="86">
        <v>799800000</v>
      </c>
      <c r="F51" s="86">
        <v>799800000</v>
      </c>
      <c r="G51" s="86">
        <v>799800000</v>
      </c>
      <c r="H51" s="86">
        <v>799800000</v>
      </c>
      <c r="I51" s="86">
        <v>799800000</v>
      </c>
      <c r="J51" s="86">
        <v>799800000</v>
      </c>
      <c r="K51" s="86">
        <v>799800000</v>
      </c>
      <c r="L51" s="86">
        <v>799800000</v>
      </c>
      <c r="M51" s="86">
        <v>799800000</v>
      </c>
    </row>
    <row r="52" spans="2:14" ht="13" x14ac:dyDescent="0.15">
      <c r="B52" s="96" t="s">
        <v>307</v>
      </c>
      <c r="C52" s="86"/>
      <c r="D52" s="86" cm="1">
        <f t="array" ref="D52:M52">_xlfn.ANCHORARRAY(D23)</f>
        <v>280000000</v>
      </c>
      <c r="E52" s="86">
        <v>280000000</v>
      </c>
      <c r="F52" s="86">
        <v>280000000</v>
      </c>
      <c r="G52" s="86">
        <v>280000000</v>
      </c>
      <c r="H52" s="86">
        <v>280000000</v>
      </c>
      <c r="I52" s="86">
        <v>280000000</v>
      </c>
      <c r="J52" s="86">
        <v>280000000</v>
      </c>
      <c r="K52" s="86">
        <v>280000000</v>
      </c>
      <c r="L52" s="86">
        <v>280000000</v>
      </c>
      <c r="M52" s="86">
        <v>280000000</v>
      </c>
    </row>
    <row r="53" spans="2:14" s="81" customFormat="1" ht="13" x14ac:dyDescent="0.15">
      <c r="B53" s="98" t="s">
        <v>308</v>
      </c>
      <c r="C53" s="94"/>
      <c r="D53" s="94">
        <f>D50+D51+D52</f>
        <v>1136343300.7226963</v>
      </c>
      <c r="E53" s="94">
        <f t="shared" ref="E53:M53" si="22">E50+E51+E52</f>
        <v>1358876392.5339961</v>
      </c>
      <c r="F53" s="94">
        <f t="shared" si="22"/>
        <v>1629008652.6858397</v>
      </c>
      <c r="G53" s="94">
        <f t="shared" si="22"/>
        <v>3436108545.8233805</v>
      </c>
      <c r="H53" s="94">
        <f t="shared" si="22"/>
        <v>4023102227.4293823</v>
      </c>
      <c r="I53" s="94">
        <f t="shared" si="22"/>
        <v>4691834565.718668</v>
      </c>
      <c r="J53" s="94">
        <f t="shared" si="22"/>
        <v>9957082044.472538</v>
      </c>
      <c r="K53" s="94">
        <f t="shared" si="22"/>
        <v>11453567909.6304</v>
      </c>
      <c r="L53" s="94">
        <f t="shared" si="22"/>
        <v>13163921997.051929</v>
      </c>
      <c r="M53" s="94">
        <f t="shared" si="22"/>
        <v>15106724962.012108</v>
      </c>
    </row>
    <row r="54" spans="2:14" x14ac:dyDescent="0.15">
      <c r="B54" s="98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</row>
    <row r="55" spans="2:14" x14ac:dyDescent="0.15">
      <c r="B55" s="98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</row>
    <row r="56" spans="2:14" ht="13" x14ac:dyDescent="0.15">
      <c r="B56" s="105" t="s">
        <v>301</v>
      </c>
      <c r="C56" s="107" t="s">
        <v>261</v>
      </c>
      <c r="D56" s="107" t="s">
        <v>85</v>
      </c>
      <c r="E56" s="107" t="s">
        <v>86</v>
      </c>
      <c r="F56" s="107" t="s">
        <v>87</v>
      </c>
      <c r="G56" s="107" t="s">
        <v>88</v>
      </c>
      <c r="H56" s="107" t="s">
        <v>89</v>
      </c>
      <c r="I56" s="107" t="s">
        <v>90</v>
      </c>
      <c r="J56" s="107" t="s">
        <v>91</v>
      </c>
      <c r="K56" s="107" t="s">
        <v>92</v>
      </c>
      <c r="L56" s="107" t="s">
        <v>93</v>
      </c>
      <c r="M56" s="107" t="s">
        <v>94</v>
      </c>
      <c r="N56" s="107" t="s">
        <v>268</v>
      </c>
    </row>
    <row r="57" spans="2:14" ht="13" x14ac:dyDescent="0.15">
      <c r="B57" s="96" t="s">
        <v>283</v>
      </c>
      <c r="C57" s="81"/>
      <c r="D57" s="111">
        <f>D31</f>
        <v>1166789693.4195328</v>
      </c>
      <c r="E57" s="111">
        <f t="shared" ref="E57:M57" si="23">E31</f>
        <v>1509148296.2061481</v>
      </c>
      <c r="F57" s="111">
        <f t="shared" si="23"/>
        <v>1924736388.7474456</v>
      </c>
      <c r="G57" s="111">
        <f t="shared" si="23"/>
        <v>4704890070.497508</v>
      </c>
      <c r="H57" s="111">
        <f t="shared" si="23"/>
        <v>5607957272.9682808</v>
      </c>
      <c r="I57" s="111">
        <f t="shared" si="23"/>
        <v>6636776254.9517975</v>
      </c>
      <c r="J57" s="111">
        <f t="shared" si="23"/>
        <v>14737156991.496212</v>
      </c>
      <c r="K57" s="111">
        <f t="shared" si="23"/>
        <v>17039442937.892921</v>
      </c>
      <c r="L57" s="111">
        <f t="shared" si="23"/>
        <v>19670756918.541431</v>
      </c>
      <c r="M57" s="111">
        <f t="shared" si="23"/>
        <v>22659684556.941704</v>
      </c>
      <c r="N57" s="81"/>
    </row>
    <row r="58" spans="2:14" ht="13" x14ac:dyDescent="0.15">
      <c r="B58" s="96" t="s">
        <v>304</v>
      </c>
      <c r="C58" s="81"/>
      <c r="D58" s="111">
        <f>D49</f>
        <v>30446392.696836427</v>
      </c>
      <c r="E58" s="111">
        <f t="shared" ref="E58:M58" si="24">E49</f>
        <v>150271903.67215183</v>
      </c>
      <c r="F58" s="111">
        <f t="shared" si="24"/>
        <v>295727736.06160593</v>
      </c>
      <c r="G58" s="111">
        <f t="shared" si="24"/>
        <v>1268781524.6741278</v>
      </c>
      <c r="H58" s="111">
        <f t="shared" si="24"/>
        <v>1584855045.5388982</v>
      </c>
      <c r="I58" s="111">
        <f t="shared" si="24"/>
        <v>1944941689.233129</v>
      </c>
      <c r="J58" s="111">
        <f t="shared" si="24"/>
        <v>4780074947.023674</v>
      </c>
      <c r="K58" s="111">
        <f t="shared" si="24"/>
        <v>5585875028.2625217</v>
      </c>
      <c r="L58" s="111">
        <f t="shared" si="24"/>
        <v>6506834921.489501</v>
      </c>
      <c r="M58" s="111">
        <f t="shared" si="24"/>
        <v>7552959594.9295959</v>
      </c>
      <c r="N58" s="81"/>
    </row>
    <row r="59" spans="2:14" s="81" customFormat="1" ht="13" x14ac:dyDescent="0.15">
      <c r="B59" s="98" t="s">
        <v>308</v>
      </c>
      <c r="D59" s="112">
        <f>D57-D58</f>
        <v>1136343300.7226963</v>
      </c>
      <c r="E59" s="112">
        <f t="shared" ref="E59:M59" si="25">E57-E58</f>
        <v>1358876392.5339963</v>
      </c>
      <c r="F59" s="112">
        <f t="shared" si="25"/>
        <v>1629008652.6858397</v>
      </c>
      <c r="G59" s="112">
        <f t="shared" si="25"/>
        <v>3436108545.8233805</v>
      </c>
      <c r="H59" s="112">
        <f t="shared" si="25"/>
        <v>4023102227.4293823</v>
      </c>
      <c r="I59" s="112">
        <f t="shared" si="25"/>
        <v>4691834565.718668</v>
      </c>
      <c r="J59" s="112">
        <f t="shared" si="25"/>
        <v>9957082044.472538</v>
      </c>
      <c r="K59" s="112">
        <f t="shared" si="25"/>
        <v>11453567909.6304</v>
      </c>
      <c r="L59" s="112">
        <f t="shared" si="25"/>
        <v>13163921997.051929</v>
      </c>
      <c r="M59" s="112">
        <f t="shared" si="25"/>
        <v>15106724962.012108</v>
      </c>
    </row>
    <row r="60" spans="2:14" ht="13" x14ac:dyDescent="0.15">
      <c r="B60" s="96" t="s">
        <v>309</v>
      </c>
      <c r="C60" s="86"/>
      <c r="D60" s="86">
        <f ca="1">-D38</f>
        <v>-909633155.73349142</v>
      </c>
      <c r="E60" s="86">
        <f t="shared" ref="E60:M60" ca="1" si="26">-E38</f>
        <v>-110887920.21653557</v>
      </c>
      <c r="F60" s="86">
        <f t="shared" ca="1" si="26"/>
        <v>-135223124.64768219</v>
      </c>
      <c r="G60" s="86">
        <f t="shared" ca="1" si="26"/>
        <v>-172584397.46257257</v>
      </c>
      <c r="H60" s="86">
        <f t="shared" ca="1" si="26"/>
        <v>66315365.314774036</v>
      </c>
      <c r="I60" s="86">
        <f t="shared" ca="1" si="26"/>
        <v>81224532.613639116</v>
      </c>
      <c r="J60" s="86">
        <f t="shared" ca="1" si="26"/>
        <v>674655379.17340875</v>
      </c>
      <c r="K60" s="86">
        <f t="shared" ca="1" si="26"/>
        <v>240464863.39409828</v>
      </c>
      <c r="L60" s="86">
        <f t="shared" ca="1" si="26"/>
        <v>283266119.5925808</v>
      </c>
      <c r="M60" s="86">
        <f t="shared" ca="1" si="26"/>
        <v>329844571.278615</v>
      </c>
    </row>
    <row r="61" spans="2:14" s="81" customFormat="1" ht="13" x14ac:dyDescent="0.15">
      <c r="B61" s="98" t="s">
        <v>332</v>
      </c>
      <c r="C61" s="94"/>
      <c r="D61" s="94">
        <f ca="1">D59+D60</f>
        <v>226710144.98920488</v>
      </c>
      <c r="E61" s="94">
        <f ca="1">E53+E60</f>
        <v>1247988472.3174605</v>
      </c>
      <c r="F61" s="94">
        <f ca="1">F53+F60</f>
        <v>1493785528.0381575</v>
      </c>
      <c r="G61" s="94">
        <f ca="1">G53+G60</f>
        <v>3263524148.3608079</v>
      </c>
      <c r="H61" s="94">
        <f t="shared" ref="H61:M61" ca="1" si="27">H53+H60</f>
        <v>4089417592.7441564</v>
      </c>
      <c r="I61" s="94">
        <f t="shared" ca="1" si="27"/>
        <v>4773059098.3323069</v>
      </c>
      <c r="J61" s="94">
        <f t="shared" ca="1" si="27"/>
        <v>10631737423.645947</v>
      </c>
      <c r="K61" s="94">
        <f t="shared" ca="1" si="27"/>
        <v>11694032773.024498</v>
      </c>
      <c r="L61" s="94">
        <f t="shared" ca="1" si="27"/>
        <v>13447188116.64451</v>
      </c>
      <c r="M61" s="94">
        <f t="shared" ca="1" si="27"/>
        <v>15436569533.290722</v>
      </c>
    </row>
    <row r="62" spans="2:14" ht="13" x14ac:dyDescent="0.15">
      <c r="B62" s="96" t="s">
        <v>311</v>
      </c>
      <c r="C62" s="86">
        <f>-Datos!C10*1000000</f>
        <v>-14000000000</v>
      </c>
      <c r="D62" s="86">
        <v>0</v>
      </c>
      <c r="E62" s="86">
        <v>0</v>
      </c>
      <c r="F62" s="86">
        <v>0</v>
      </c>
      <c r="G62" s="86">
        <v>0</v>
      </c>
      <c r="H62" s="86">
        <f>-Datos!$C$10*Datos!$C$24*1000000</f>
        <v>-9800000000</v>
      </c>
      <c r="I62" s="86">
        <v>0</v>
      </c>
      <c r="J62" s="86">
        <v>0</v>
      </c>
      <c r="K62" s="86">
        <v>0</v>
      </c>
      <c r="L62" s="86">
        <v>0</v>
      </c>
      <c r="M62" s="86">
        <v>0</v>
      </c>
    </row>
    <row r="63" spans="2:14" s="81" customFormat="1" ht="13" x14ac:dyDescent="0.15">
      <c r="B63" s="98" t="s">
        <v>312</v>
      </c>
      <c r="C63" s="94">
        <f>C61+C62</f>
        <v>-14000000000</v>
      </c>
      <c r="D63" s="94">
        <f ca="1">D61+D62</f>
        <v>226710144.98920488</v>
      </c>
      <c r="E63" s="94">
        <f t="shared" ref="E63:L63" ca="1" si="28">E61+E62</f>
        <v>1247988472.3174605</v>
      </c>
      <c r="F63" s="94">
        <f ca="1">F61+F62</f>
        <v>1493785528.0381575</v>
      </c>
      <c r="G63" s="94">
        <f ca="1">G61+G62</f>
        <v>3263524148.3608079</v>
      </c>
      <c r="H63" s="94">
        <f ca="1">H61+H62</f>
        <v>-5710582407.2558441</v>
      </c>
      <c r="I63" s="94">
        <f t="shared" ca="1" si="28"/>
        <v>4773059098.3323069</v>
      </c>
      <c r="J63" s="94">
        <f t="shared" ca="1" si="28"/>
        <v>10631737423.645947</v>
      </c>
      <c r="K63" s="94">
        <f t="shared" ca="1" si="28"/>
        <v>11694032773.024498</v>
      </c>
      <c r="L63" s="94">
        <f t="shared" ca="1" si="28"/>
        <v>13447188116.64451</v>
      </c>
      <c r="M63" s="94">
        <f ca="1">M61+M62</f>
        <v>15436569533.290722</v>
      </c>
      <c r="N63" s="95">
        <f>P48</f>
        <v>2730000000</v>
      </c>
    </row>
    <row r="64" spans="2:14" x14ac:dyDescent="0.15">
      <c r="B64" s="98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91"/>
    </row>
    <row r="66" spans="2:14" ht="13" x14ac:dyDescent="0.15">
      <c r="B66" s="114" t="s">
        <v>314</v>
      </c>
      <c r="C66" s="115">
        <f ca="1">NPV(WACC!B18,'Breakeven Precio'!D63:N63)+'Breakeven Precio'!C63</f>
        <v>-847830826.70414925</v>
      </c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91"/>
    </row>
    <row r="67" spans="2:14" ht="13" x14ac:dyDescent="0.15">
      <c r="B67" s="116" t="s">
        <v>316</v>
      </c>
      <c r="C67" s="117">
        <f ca="1">MIRR(C63:N63,WACC!B18,WACC!B18)</f>
        <v>0.20367662881143844</v>
      </c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91"/>
    </row>
    <row r="68" spans="2:14" s="81" customFormat="1" ht="13" x14ac:dyDescent="0.15">
      <c r="B68" s="116" t="s">
        <v>317</v>
      </c>
      <c r="C68" s="118">
        <v>0</v>
      </c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5"/>
    </row>
    <row r="69" spans="2:14" ht="13" x14ac:dyDescent="0.15">
      <c r="B69" s="119" t="s">
        <v>318</v>
      </c>
      <c r="C69" s="120"/>
      <c r="D69" s="113">
        <f ca="1">1/(1+WACC!$B$18)^'Breakeven Precio'!D2</f>
        <v>0.82673938243086387</v>
      </c>
      <c r="E69" s="113">
        <f ca="1">1/(1+WACC!$B$18)^'Breakeven Precio'!E2</f>
        <v>0.68349800646216619</v>
      </c>
      <c r="F69" s="113">
        <f ca="1">1/(1+WACC!$B$18)^'Breakeven Precio'!F2</f>
        <v>0.5650747197552578</v>
      </c>
      <c r="G69" s="113">
        <f ca="1">1/(1+WACC!$B$18)^'Breakeven Precio'!G2</f>
        <v>0.46716952483775531</v>
      </c>
      <c r="H69" s="113">
        <f ca="1">1/(1+WACC!$B$18)^'Breakeven Precio'!H2</f>
        <v>0.38622744445488594</v>
      </c>
      <c r="I69" s="113">
        <f ca="1">1/(1+WACC!$B$18)^'Breakeven Precio'!I2</f>
        <v>0.31930943890648317</v>
      </c>
      <c r="J69" s="113">
        <f ca="1">1/(1+WACC!$B$18)^'Breakeven Precio'!J2</f>
        <v>0.26398568832589153</v>
      </c>
      <c r="K69" s="113">
        <f ca="1">1/(1+WACC!$B$18)^'Breakeven Precio'!K2</f>
        <v>0.21824736493713406</v>
      </c>
      <c r="L69" s="113">
        <f ca="1">1/(1+WACC!$B$18)^'Breakeven Precio'!L2</f>
        <v>0.18043369170528961</v>
      </c>
      <c r="M69" s="113">
        <f ca="1">1/(1+WACC!$B$18)^'Breakeven Precio'!M2</f>
        <v>0.149171638850152</v>
      </c>
      <c r="N69" s="113">
        <f ca="1">1/(1+WACC!$B$18)^11</f>
        <v>0.12332606857917452</v>
      </c>
    </row>
    <row r="70" spans="2:14" s="81" customFormat="1" ht="13" x14ac:dyDescent="0.15">
      <c r="B70" s="119" t="s">
        <v>319</v>
      </c>
      <c r="C70" s="120"/>
      <c r="D70" s="86">
        <f ca="1">D63*D69</f>
        <v>187430205.25918686</v>
      </c>
      <c r="E70" s="86">
        <f t="shared" ref="E70:N70" ca="1" si="29">E63*E69</f>
        <v>852997632.91674852</v>
      </c>
      <c r="F70" s="86">
        <f t="shared" ca="1" si="29"/>
        <v>844100438.63062167</v>
      </c>
      <c r="G70" s="86">
        <f t="shared" ca="1" si="29"/>
        <v>1524619025.6862588</v>
      </c>
      <c r="H70" s="86">
        <f t="shared" ca="1" si="29"/>
        <v>-2205583649.5034552</v>
      </c>
      <c r="I70" s="86">
        <f t="shared" ca="1" si="29"/>
        <v>1524082822.5559733</v>
      </c>
      <c r="J70" s="86">
        <f t="shared" ca="1" si="29"/>
        <v>2806626521.8813157</v>
      </c>
      <c r="K70" s="86">
        <f t="shared" ca="1" si="29"/>
        <v>2552191838.2010837</v>
      </c>
      <c r="L70" s="86">
        <f t="shared" ca="1" si="29"/>
        <v>2426325794.9416695</v>
      </c>
      <c r="M70" s="86">
        <f t="shared" ca="1" si="29"/>
        <v>2302698375.5053029</v>
      </c>
      <c r="N70" s="86">
        <f t="shared" ca="1" si="29"/>
        <v>336680167.22114646</v>
      </c>
    </row>
    <row r="71" spans="2:14" s="81" customFormat="1" ht="13" x14ac:dyDescent="0.15">
      <c r="B71" s="121" t="s">
        <v>320</v>
      </c>
      <c r="C71" s="122">
        <f ca="1">ABS(SUM(D70:N70)/C63)</f>
        <v>0.93944065523541787</v>
      </c>
      <c r="D71" s="94"/>
      <c r="E71" s="94"/>
      <c r="F71" s="94"/>
      <c r="G71" s="94"/>
      <c r="H71" s="94"/>
      <c r="I71" s="94"/>
      <c r="J71" s="94"/>
      <c r="K71" s="94"/>
      <c r="L71" s="94"/>
      <c r="M71" s="94"/>
    </row>
    <row r="74" spans="2:14" ht="13" x14ac:dyDescent="0.15">
      <c r="B74" s="96" t="s">
        <v>321</v>
      </c>
      <c r="D74" s="90">
        <f t="shared" ref="D74:M74" ca="1" si="30">D50/D44</f>
        <v>4.0073684854111842E-3</v>
      </c>
      <c r="E74" s="90">
        <f t="shared" ca="1" si="30"/>
        <v>2.0794131114748489E-2</v>
      </c>
      <c r="F74" s="90">
        <f t="shared" ca="1" si="30"/>
        <v>4.3053765565537659E-2</v>
      </c>
      <c r="G74" s="90">
        <f t="shared" ca="1" si="30"/>
        <v>0.19426857640871306</v>
      </c>
      <c r="H74" s="90">
        <f t="shared" ca="1" si="30"/>
        <v>0.2613245822061343</v>
      </c>
      <c r="I74" s="90">
        <f t="shared" ca="1" si="30"/>
        <v>0.34791355202233937</v>
      </c>
      <c r="J74" s="90">
        <f t="shared" ca="1" si="30"/>
        <v>0.99660385480515201</v>
      </c>
      <c r="K74" s="90">
        <f t="shared" ca="1" si="30"/>
        <v>1.3185984392913457</v>
      </c>
      <c r="L74" s="90">
        <f t="shared" ca="1" si="30"/>
        <v>1.7812148569649862</v>
      </c>
      <c r="M74" s="90">
        <f t="shared" ca="1" si="30"/>
        <v>2.4806404922829492</v>
      </c>
    </row>
    <row r="75" spans="2:14" ht="13" x14ac:dyDescent="0.15">
      <c r="B75" s="96" t="s">
        <v>322</v>
      </c>
      <c r="D75" s="90">
        <f t="shared" ref="D75:M75" si="31">D19/D15</f>
        <v>0.60008073444508003</v>
      </c>
      <c r="E75" s="90">
        <f t="shared" si="31"/>
        <v>0.61441888026571234</v>
      </c>
      <c r="F75" s="90">
        <f t="shared" si="31"/>
        <v>0.62814111542449391</v>
      </c>
      <c r="G75" s="90">
        <f t="shared" si="31"/>
        <v>0.66088931985717259</v>
      </c>
      <c r="H75" s="90">
        <f t="shared" si="31"/>
        <v>0.67235064368570563</v>
      </c>
      <c r="I75" s="90">
        <f t="shared" si="31"/>
        <v>0.68333756853463579</v>
      </c>
      <c r="J75" s="90">
        <f t="shared" si="31"/>
        <v>0.70704527138912965</v>
      </c>
      <c r="K75" s="90">
        <f t="shared" si="31"/>
        <v>0.71639756974201774</v>
      </c>
      <c r="L75" s="90">
        <f t="shared" si="31"/>
        <v>0.72537584506469932</v>
      </c>
      <c r="M75" s="90">
        <f t="shared" si="31"/>
        <v>0.73399540611932745</v>
      </c>
    </row>
    <row r="76" spans="2:14" ht="13" x14ac:dyDescent="0.15">
      <c r="B76" s="96" t="s">
        <v>323</v>
      </c>
      <c r="D76" s="90">
        <f t="shared" ref="D76:M76" si="32">D25/D15</f>
        <v>1.195395265542345E-2</v>
      </c>
      <c r="E76" s="90">
        <f t="shared" si="32"/>
        <v>5.2589347040978271E-2</v>
      </c>
      <c r="F76" s="90">
        <f t="shared" si="32"/>
        <v>9.1384450416285345E-2</v>
      </c>
      <c r="G76" s="90">
        <f t="shared" si="32"/>
        <v>0.23136318359253991</v>
      </c>
      <c r="H76" s="90">
        <f t="shared" si="32"/>
        <v>0.25631376371614623</v>
      </c>
      <c r="I76" s="90">
        <f t="shared" si="32"/>
        <v>0.27948649772204071</v>
      </c>
      <c r="J76" s="90">
        <f t="shared" si="32"/>
        <v>0.36731906899014727</v>
      </c>
      <c r="K76" s="90">
        <f t="shared" si="32"/>
        <v>0.3826897960324655</v>
      </c>
      <c r="L76" s="90">
        <f t="shared" si="32"/>
        <v>0.39719672437275094</v>
      </c>
      <c r="M76" s="90">
        <f t="shared" si="32"/>
        <v>0.41088025913131848</v>
      </c>
    </row>
    <row r="77" spans="2:14" ht="13" x14ac:dyDescent="0.15">
      <c r="B77" s="96" t="s">
        <v>324</v>
      </c>
      <c r="D77" s="90">
        <f t="shared" ref="D77:M77" si="33">D31/D15</f>
        <v>0.16033794586108185</v>
      </c>
      <c r="E77" s="90">
        <f t="shared" si="33"/>
        <v>0.18485021179024239</v>
      </c>
      <c r="F77" s="90">
        <f t="shared" si="33"/>
        <v>0.20817067346650339</v>
      </c>
      <c r="G77" s="90">
        <f t="shared" si="33"/>
        <v>0.30027897900309047</v>
      </c>
      <c r="H77" s="90">
        <f t="shared" si="33"/>
        <v>0.31743522778562827</v>
      </c>
      <c r="I77" s="90">
        <f t="shared" si="33"/>
        <v>0.33379472334588356</v>
      </c>
      <c r="J77" s="90">
        <f t="shared" si="33"/>
        <v>0.39636064203700577</v>
      </c>
      <c r="K77" s="90">
        <f t="shared" si="33"/>
        <v>0.4085818816739763</v>
      </c>
      <c r="L77" s="90">
        <f t="shared" si="33"/>
        <v>0.42026670537786776</v>
      </c>
      <c r="M77" s="90">
        <f t="shared" si="33"/>
        <v>0.43143961396193925</v>
      </c>
    </row>
    <row r="78" spans="2:14" ht="13" x14ac:dyDescent="0.15">
      <c r="B78" s="96" t="s">
        <v>333</v>
      </c>
      <c r="D78" s="90">
        <f t="shared" ref="D78:M78" ca="1" si="34">D37/D15</f>
        <v>0.125</v>
      </c>
      <c r="E78" s="90">
        <f t="shared" ca="1" si="34"/>
        <v>0.125</v>
      </c>
      <c r="F78" s="90">
        <f t="shared" ca="1" si="34"/>
        <v>0.125</v>
      </c>
      <c r="G78" s="90">
        <f t="shared" ca="1" si="34"/>
        <v>8.4777571681705716E-2</v>
      </c>
      <c r="H78" s="90">
        <f t="shared" ca="1" si="34"/>
        <v>7.1435540341234921E-2</v>
      </c>
      <c r="I78" s="90">
        <f t="shared" ca="1" si="34"/>
        <v>5.9387422801301763E-2</v>
      </c>
      <c r="J78" s="90">
        <f t="shared" ca="1" si="34"/>
        <v>1.3612620681667156E-2</v>
      </c>
      <c r="K78" s="90">
        <f t="shared" ca="1" si="34"/>
        <v>6.3703560432529383E-3</v>
      </c>
      <c r="L78" s="90">
        <f t="shared" ca="1" si="34"/>
        <v>-3.7597492936236663E-4</v>
      </c>
      <c r="M78" s="90">
        <f t="shared" ca="1" si="34"/>
        <v>-6.6152881623435141E-3</v>
      </c>
    </row>
    <row r="80" spans="2:14" ht="13" x14ac:dyDescent="0.15">
      <c r="B80" s="96" t="s">
        <v>326</v>
      </c>
      <c r="D80" s="92">
        <f ca="1">D77/D78</f>
        <v>1.2827035668886548</v>
      </c>
      <c r="E80" s="92">
        <f t="shared" ref="E80:M80" ca="1" si="35">E77/E78</f>
        <v>1.4788016943219391</v>
      </c>
      <c r="F80" s="92">
        <f t="shared" ca="1" si="35"/>
        <v>1.6653653877320271</v>
      </c>
      <c r="G80" s="92">
        <f t="shared" ca="1" si="35"/>
        <v>3.5419624913352896</v>
      </c>
      <c r="H80" s="92">
        <f t="shared" ca="1" si="35"/>
        <v>4.4436596443352485</v>
      </c>
      <c r="I80" s="92">
        <f t="shared" ca="1" si="35"/>
        <v>5.6206298842550018</v>
      </c>
      <c r="J80" s="92">
        <f t="shared" ca="1" si="35"/>
        <v>29.117144399006566</v>
      </c>
      <c r="K80" s="92">
        <f t="shared" ca="1" si="35"/>
        <v>64.137997766501499</v>
      </c>
      <c r="L80" s="92">
        <f t="shared" ca="1" si="35"/>
        <v>-1117.8051315565579</v>
      </c>
      <c r="M80" s="92">
        <f t="shared" ca="1" si="35"/>
        <v>-65.218566957950728</v>
      </c>
    </row>
    <row r="81" spans="2:13" ht="13" x14ac:dyDescent="0.15">
      <c r="B81" s="96" t="s">
        <v>327</v>
      </c>
      <c r="D81" s="93">
        <f ca="1">(D74-WACC!$B$18)*'Breakeven Precio'!D44</f>
        <v>-2900468858.5042715</v>
      </c>
      <c r="E81" s="93">
        <f ca="1">(E74-WACC!$B$18)*'Breakeven Precio'!E44</f>
        <v>-2533559757.8434081</v>
      </c>
      <c r="F81" s="93">
        <f ca="1">(F74-WACC!$B$18)*'Breakeven Precio'!F44</f>
        <v>-2124151442.5130291</v>
      </c>
      <c r="G81" s="93">
        <f ca="1">(G74-WACC!$B$18)*'Breakeven Precio'!G44</f>
        <v>-185605334.33598599</v>
      </c>
      <c r="H81" s="93">
        <f ca="1">(H74-WACC!$B$18)*'Breakeven Precio'!H44</f>
        <v>582901029.82703006</v>
      </c>
      <c r="I81" s="93">
        <f ca="1">(I74-WACC!$B$18)*'Breakeven Precio'!I44</f>
        <v>1436270580.1061103</v>
      </c>
      <c r="J81" s="93">
        <f ca="1">(J74-WACC!$B$18)*'Breakeven Precio'!J44</f>
        <v>7010521180.0401697</v>
      </c>
      <c r="K81" s="93">
        <f ca="1">(K74-WACC!$B$18)*'Breakeven Precio'!K44</f>
        <v>8725016416.1042347</v>
      </c>
      <c r="L81" s="93">
        <f ca="1">(L74-WACC!$B$18)*'Breakeven Precio'!L44</f>
        <v>10662349777.450109</v>
      </c>
      <c r="M81" s="93">
        <f ca="1">(M74-WACC!$B$18)*'Breakeven Precio'!M44</f>
        <v>12841893510.072607</v>
      </c>
    </row>
    <row r="86" spans="2:13" ht="13" x14ac:dyDescent="0.15">
      <c r="B86" s="96" t="s">
        <v>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Datos</vt:lpstr>
      <vt:lpstr>Nómina</vt:lpstr>
      <vt:lpstr>Costos hundidos</vt:lpstr>
      <vt:lpstr>Tasas de banco</vt:lpstr>
      <vt:lpstr>Costo de oportunidad</vt:lpstr>
      <vt:lpstr>Inflación</vt:lpstr>
      <vt:lpstr>Bogotá</vt:lpstr>
      <vt:lpstr>BBVA</vt:lpstr>
      <vt:lpstr>Bonos</vt:lpstr>
      <vt:lpstr>WACC</vt:lpstr>
      <vt:lpstr>Depreciaciones</vt:lpstr>
      <vt:lpstr>Amortización gasto seguro</vt:lpstr>
      <vt:lpstr>Estado de resultados</vt:lpstr>
      <vt:lpstr>Breakeven Precio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Armendáriz</dc:creator>
  <cp:keywords/>
  <dc:description/>
  <cp:lastModifiedBy>David Adrian Armendariz Peña</cp:lastModifiedBy>
  <cp:revision/>
  <dcterms:created xsi:type="dcterms:W3CDTF">2026-06-13T19:27:41Z</dcterms:created>
  <dcterms:modified xsi:type="dcterms:W3CDTF">2026-06-20T15:58:11Z</dcterms:modified>
  <cp:category/>
  <cp:contentStatus/>
</cp:coreProperties>
</file>