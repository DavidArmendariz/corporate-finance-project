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avidarmendariz/finanzas-corporativas/"/>
    </mc:Choice>
  </mc:AlternateContent>
  <xr:revisionPtr revIDLastSave="0" documentId="13_ncr:1_{F2BC65EF-C6ED-C344-8350-33BA99DCCD94}" xr6:coauthVersionLast="47" xr6:coauthVersionMax="47" xr10:uidLastSave="{00000000-0000-0000-0000-000000000000}"/>
  <bookViews>
    <workbookView xWindow="0" yWindow="660" windowWidth="34560" windowHeight="20240" activeTab="10" xr2:uid="{4A5FEAB5-AF17-D144-BB0B-4790A386B114}"/>
  </bookViews>
  <sheets>
    <sheet name="Datos" sheetId="2" r:id="rId1"/>
    <sheet name="Nómina" sheetId="1" r:id="rId2"/>
    <sheet name="Costo de oportunidad" sheetId="12" r:id="rId3"/>
    <sheet name="Costos hundidos" sheetId="9" r:id="rId4"/>
    <sheet name="Tasas de banco" sheetId="14" state="hidden" r:id="rId5"/>
    <sheet name="Inflación" sheetId="16" r:id="rId6"/>
    <sheet name="Bancos" sheetId="15" r:id="rId7"/>
    <sheet name="WACC" sheetId="13" r:id="rId8"/>
    <sheet name="Depreciaciones" sheetId="8" r:id="rId9"/>
    <sheet name="Amortización gasto seguro" sheetId="10" r:id="rId10"/>
    <sheet name="Estado de resultados" sheetId="20" r:id="rId11"/>
    <sheet name="Breakeven Precio" sheetId="23" r:id="rId12"/>
  </sheets>
  <definedNames>
    <definedName name="solver_adj" localSheetId="7" hidden="1">WACC!#REF!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itr" localSheetId="7" hidden="1">2147483647</definedName>
    <definedName name="solver_lhs1" localSheetId="7" hidden="1">WACC!#REF!</definedName>
    <definedName name="solver_lin" localSheetId="7" hidden="1">2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1</definedName>
    <definedName name="solver_opt" localSheetId="7" hidden="1">WACC!#REF!</definedName>
    <definedName name="solver_pre" localSheetId="7" hidden="1">0.000001</definedName>
    <definedName name="solver_rbv" localSheetId="7" hidden="1">1</definedName>
    <definedName name="solver_rel1" localSheetId="7" hidden="1">2</definedName>
    <definedName name="solver_rhs1" localSheetId="7" hidden="1">1</definedName>
    <definedName name="solver_rlx" localSheetId="7" hidden="1">1</definedName>
    <definedName name="solver_rsd" localSheetId="7" hidden="1">0</definedName>
    <definedName name="solver_scl" localSheetId="7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20" l="1"/>
  <c r="D27" i="20" a="1"/>
  <c r="AG43" i="15"/>
  <c r="M23" i="20"/>
  <c r="L23" i="20"/>
  <c r="K23" i="20"/>
  <c r="J23" i="20"/>
  <c r="I23" i="20"/>
  <c r="H23" i="20"/>
  <c r="G23" i="20"/>
  <c r="F23" i="20"/>
  <c r="E23" i="20"/>
  <c r="D23" i="20"/>
  <c r="D53" i="20" l="1" a="1"/>
  <c r="B16" i="12"/>
  <c r="C10" i="12"/>
  <c r="E8" i="23"/>
  <c r="D16" i="23"/>
  <c r="E9" i="23"/>
  <c r="F9" i="23" s="1"/>
  <c r="E16" i="23" l="1"/>
  <c r="E35" i="23" s="1"/>
  <c r="G9" i="23"/>
  <c r="F16" i="23"/>
  <c r="F35" i="23" s="1"/>
  <c r="D35" i="23"/>
  <c r="D15" i="23"/>
  <c r="D24" i="23" l="1"/>
  <c r="A24" i="23" s="1"/>
  <c r="D21" i="23"/>
  <c r="A21" i="23" s="1"/>
  <c r="A15" i="23"/>
  <c r="D33" i="23"/>
  <c r="D18" i="23"/>
  <c r="G16" i="23"/>
  <c r="G35" i="23" s="1"/>
  <c r="H9" i="23"/>
  <c r="A35" i="23"/>
  <c r="A16" i="23"/>
  <c r="E15" i="23"/>
  <c r="F8" i="23"/>
  <c r="A18" i="23" l="1"/>
  <c r="G8" i="23"/>
  <c r="F15" i="23"/>
  <c r="H16" i="23"/>
  <c r="H35" i="23" s="1"/>
  <c r="I9" i="23"/>
  <c r="E33" i="23"/>
  <c r="E34" i="23" s="1"/>
  <c r="E24" i="23"/>
  <c r="E21" i="23"/>
  <c r="E18" i="23"/>
  <c r="D34" i="23"/>
  <c r="A33" i="23"/>
  <c r="F33" i="23" l="1"/>
  <c r="F34" i="23" s="1"/>
  <c r="F18" i="23"/>
  <c r="F24" i="23"/>
  <c r="F21" i="23"/>
  <c r="H8" i="23"/>
  <c r="G15" i="23"/>
  <c r="J9" i="23"/>
  <c r="I16" i="23"/>
  <c r="I35" i="23" s="1"/>
  <c r="H15" i="23" l="1"/>
  <c r="I8" i="23"/>
  <c r="J16" i="23"/>
  <c r="J35" i="23" s="1"/>
  <c r="K9" i="23"/>
  <c r="G33" i="23"/>
  <c r="G34" i="23" s="1"/>
  <c r="G18" i="23"/>
  <c r="G24" i="23"/>
  <c r="G21" i="23"/>
  <c r="J8" i="23" l="1"/>
  <c r="I15" i="23"/>
  <c r="H33" i="23"/>
  <c r="H34" i="23" s="1"/>
  <c r="H18" i="23"/>
  <c r="H24" i="23"/>
  <c r="H21" i="23"/>
  <c r="K16" i="23"/>
  <c r="K35" i="23" s="1"/>
  <c r="L9" i="23"/>
  <c r="M9" i="23" l="1"/>
  <c r="M16" i="23" s="1"/>
  <c r="M35" i="23" s="1"/>
  <c r="L16" i="23"/>
  <c r="L35" i="23" s="1"/>
  <c r="J15" i="23"/>
  <c r="K8" i="23"/>
  <c r="I24" i="23"/>
  <c r="I33" i="23"/>
  <c r="I34" i="23" s="1"/>
  <c r="I18" i="23"/>
  <c r="I21" i="23"/>
  <c r="J21" i="23" l="1"/>
  <c r="J33" i="23"/>
  <c r="J34" i="23" s="1"/>
  <c r="J18" i="23"/>
  <c r="J24" i="23"/>
  <c r="L8" i="23"/>
  <c r="K15" i="23"/>
  <c r="L15" i="23" l="1"/>
  <c r="M8" i="23"/>
  <c r="M15" i="23" s="1"/>
  <c r="K18" i="23"/>
  <c r="K33" i="23"/>
  <c r="K34" i="23" s="1"/>
  <c r="K24" i="23"/>
  <c r="K21" i="23"/>
  <c r="M33" i="23" l="1"/>
  <c r="M34" i="23" s="1"/>
  <c r="M24" i="23"/>
  <c r="M21" i="23"/>
  <c r="M18" i="23"/>
  <c r="L24" i="23"/>
  <c r="L21" i="23"/>
  <c r="L33" i="23"/>
  <c r="L34" i="23" s="1"/>
  <c r="L18" i="23"/>
  <c r="D16" i="20" l="1"/>
  <c r="D36" i="20" s="1"/>
  <c r="D8" i="20"/>
  <c r="E8" i="20" l="1"/>
  <c r="C8" i="23"/>
  <c r="E9" i="20"/>
  <c r="E16" i="20" s="1"/>
  <c r="E36" i="20" s="1"/>
  <c r="D15" i="20"/>
  <c r="A23" i="20" l="1"/>
  <c r="F8" i="20"/>
  <c r="E15" i="20"/>
  <c r="E21" i="20" s="1"/>
  <c r="F9" i="20"/>
  <c r="F16" i="20" s="1"/>
  <c r="F36" i="20" s="1"/>
  <c r="D34" i="20"/>
  <c r="A16" i="20"/>
  <c r="D18" i="20"/>
  <c r="D24" i="20"/>
  <c r="A24" i="20" s="1"/>
  <c r="D21" i="20"/>
  <c r="A21" i="20" s="1"/>
  <c r="A15" i="20"/>
  <c r="A36" i="20"/>
  <c r="F15" i="20" l="1"/>
  <c r="G8" i="20"/>
  <c r="E34" i="20"/>
  <c r="E35" i="20" s="1"/>
  <c r="E24" i="20"/>
  <c r="E18" i="20"/>
  <c r="A18" i="20"/>
  <c r="G9" i="20"/>
  <c r="H9" i="20" s="1"/>
  <c r="A34" i="20"/>
  <c r="D35" i="20"/>
  <c r="H8" i="20" l="1"/>
  <c r="G15" i="20"/>
  <c r="F21" i="20"/>
  <c r="F24" i="20"/>
  <c r="F18" i="20"/>
  <c r="F34" i="20"/>
  <c r="F35" i="20" s="1"/>
  <c r="G16" i="20"/>
  <c r="G36" i="20" s="1"/>
  <c r="I9" i="20"/>
  <c r="H16" i="20"/>
  <c r="H36" i="20" s="1"/>
  <c r="H15" i="20" l="1"/>
  <c r="I8" i="20"/>
  <c r="G24" i="20"/>
  <c r="G21" i="20"/>
  <c r="G18" i="20"/>
  <c r="G34" i="20"/>
  <c r="G35" i="20" s="1"/>
  <c r="J9" i="20"/>
  <c r="I16" i="20"/>
  <c r="I36" i="20" s="1"/>
  <c r="H21" i="20" l="1"/>
  <c r="H34" i="20"/>
  <c r="H35" i="20" s="1"/>
  <c r="H24" i="20"/>
  <c r="H18" i="20"/>
  <c r="I15" i="20"/>
  <c r="J8" i="20"/>
  <c r="K9" i="20"/>
  <c r="J16" i="20"/>
  <c r="J36" i="20" s="1"/>
  <c r="J15" i="20" l="1"/>
  <c r="I21" i="20"/>
  <c r="I24" i="20"/>
  <c r="K8" i="20"/>
  <c r="I18" i="20"/>
  <c r="I34" i="20"/>
  <c r="I35" i="20" s="1"/>
  <c r="L9" i="20"/>
  <c r="K16" i="20"/>
  <c r="K36" i="20" s="1"/>
  <c r="J21" i="20" l="1"/>
  <c r="J34" i="20"/>
  <c r="J35" i="20" s="1"/>
  <c r="J24" i="20"/>
  <c r="J18" i="20"/>
  <c r="K15" i="20"/>
  <c r="L8" i="20"/>
  <c r="K24" i="20"/>
  <c r="L16" i="20"/>
  <c r="L36" i="20" s="1"/>
  <c r="M9" i="20"/>
  <c r="M16" i="20" s="1"/>
  <c r="M36" i="20" s="1"/>
  <c r="K34" i="20" l="1"/>
  <c r="K35" i="20" s="1"/>
  <c r="K18" i="20"/>
  <c r="M8" i="20"/>
  <c r="M15" i="20" s="1"/>
  <c r="K21" i="20"/>
  <c r="L15" i="20"/>
  <c r="L34" i="20"/>
  <c r="L35" i="20" s="1"/>
  <c r="M18" i="20" l="1"/>
  <c r="M21" i="20"/>
  <c r="M34" i="20"/>
  <c r="M35" i="20" s="1"/>
  <c r="M24" i="20"/>
  <c r="L18" i="20"/>
  <c r="L24" i="20"/>
  <c r="L21" i="20"/>
  <c r="E7" i="2"/>
  <c r="B2" i="8"/>
  <c r="H3" i="1"/>
  <c r="D17" i="23" l="1"/>
  <c r="D17" i="20"/>
  <c r="D20" i="16"/>
  <c r="C19" i="16"/>
  <c r="D19" i="16" s="1"/>
  <c r="D18" i="16"/>
  <c r="C17" i="16"/>
  <c r="D17" i="16" s="1"/>
  <c r="D16" i="16"/>
  <c r="C15" i="16"/>
  <c r="D15" i="16" s="1"/>
  <c r="D14" i="16"/>
  <c r="D13" i="16"/>
  <c r="C13" i="16"/>
  <c r="D12" i="16"/>
  <c r="B9" i="13"/>
  <c r="K13" i="12"/>
  <c r="J13" i="12"/>
  <c r="I13" i="12"/>
  <c r="H13" i="12"/>
  <c r="G13" i="12"/>
  <c r="F13" i="12"/>
  <c r="E13" i="12"/>
  <c r="D13" i="12"/>
  <c r="B13" i="12"/>
  <c r="C13" i="12"/>
  <c r="C19" i="2"/>
  <c r="B10" i="12" s="1"/>
  <c r="D19" i="23" l="1"/>
  <c r="A17" i="23"/>
  <c r="E17" i="23"/>
  <c r="D19" i="20"/>
  <c r="A17" i="20"/>
  <c r="E17" i="20"/>
  <c r="B11" i="12"/>
  <c r="B12" i="12" s="1"/>
  <c r="B14" i="12" s="1"/>
  <c r="B6" i="13"/>
  <c r="AO17" i="15"/>
  <c r="AO18" i="15"/>
  <c r="AO19" i="15"/>
  <c r="AO20" i="15"/>
  <c r="AO21" i="15"/>
  <c r="AO22" i="15"/>
  <c r="AO23" i="15"/>
  <c r="AO24" i="15"/>
  <c r="AO16" i="15"/>
  <c r="AG8" i="15"/>
  <c r="AG9" i="15" s="1"/>
  <c r="Q8" i="15"/>
  <c r="Q7" i="15"/>
  <c r="C15" i="2"/>
  <c r="AB31" i="15" a="1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" i="15"/>
  <c r="Q9" i="15" s="1"/>
  <c r="Q10" i="15" s="1"/>
  <c r="E20" i="15"/>
  <c r="E21" i="15"/>
  <c r="E22" i="15"/>
  <c r="E23" i="15"/>
  <c r="B6" i="15"/>
  <c r="B14" i="13"/>
  <c r="B12" i="13"/>
  <c r="B3" i="13"/>
  <c r="E46" i="14"/>
  <c r="E16" i="14"/>
  <c r="B35" i="14"/>
  <c r="E14" i="14"/>
  <c r="B47" i="14"/>
  <c r="D8" i="1"/>
  <c r="D3" i="1"/>
  <c r="C10" i="2"/>
  <c r="B6" i="8"/>
  <c r="C6" i="8"/>
  <c r="D6" i="8"/>
  <c r="E6" i="8"/>
  <c r="F6" i="8"/>
  <c r="G6" i="8"/>
  <c r="H6" i="8"/>
  <c r="I6" i="8"/>
  <c r="J6" i="8"/>
  <c r="K6" i="8"/>
  <c r="B5" i="8"/>
  <c r="C5" i="8"/>
  <c r="D5" i="8"/>
  <c r="E5" i="8"/>
  <c r="F5" i="8"/>
  <c r="G5" i="8"/>
  <c r="H5" i="8"/>
  <c r="I5" i="8"/>
  <c r="J5" i="8"/>
  <c r="K5" i="8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C2" i="8"/>
  <c r="D2" i="8"/>
  <c r="E2" i="8"/>
  <c r="F2" i="8"/>
  <c r="G2" i="8"/>
  <c r="H2" i="8"/>
  <c r="I2" i="8"/>
  <c r="J2" i="8"/>
  <c r="K2" i="8"/>
  <c r="E6" i="2"/>
  <c r="I3" i="8" s="1"/>
  <c r="C6" i="9"/>
  <c r="C18" i="1"/>
  <c r="B18" i="1"/>
  <c r="D75" i="23" l="1"/>
  <c r="A19" i="23"/>
  <c r="E19" i="23"/>
  <c r="E75" i="23" s="1"/>
  <c r="F17" i="23"/>
  <c r="D80" i="20"/>
  <c r="A19" i="20"/>
  <c r="E19" i="20"/>
  <c r="E80" i="20" s="1"/>
  <c r="F17" i="20"/>
  <c r="D18" i="1"/>
  <c r="H4" i="1"/>
  <c r="C62" i="23"/>
  <c r="C63" i="23" s="1"/>
  <c r="P47" i="23"/>
  <c r="P41" i="23"/>
  <c r="C40" i="23"/>
  <c r="D40" i="23" s="1"/>
  <c r="H62" i="23"/>
  <c r="C63" i="20"/>
  <c r="C64" i="20" s="1"/>
  <c r="C66" i="20" s="1"/>
  <c r="P48" i="20"/>
  <c r="P42" i="20"/>
  <c r="C41" i="20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H63" i="20"/>
  <c r="B2" i="10"/>
  <c r="C2" i="10"/>
  <c r="D2" i="10"/>
  <c r="E2" i="10"/>
  <c r="F2" i="10"/>
  <c r="Z22" i="15"/>
  <c r="H3" i="10"/>
  <c r="H4" i="10" s="1"/>
  <c r="I3" i="10"/>
  <c r="I4" i="10" s="1"/>
  <c r="J3" i="10"/>
  <c r="J4" i="10" s="1"/>
  <c r="G3" i="10"/>
  <c r="G4" i="10" s="1"/>
  <c r="K3" i="10"/>
  <c r="D10" i="12"/>
  <c r="C11" i="12"/>
  <c r="C12" i="12" s="1"/>
  <c r="C14" i="12" s="1"/>
  <c r="E10" i="12"/>
  <c r="B7" i="13"/>
  <c r="B10" i="13" s="1"/>
  <c r="B15" i="13" s="1"/>
  <c r="B16" i="13" s="1"/>
  <c r="B12" i="15"/>
  <c r="B7" i="15"/>
  <c r="B8" i="15" s="1"/>
  <c r="B9" i="15" s="1"/>
  <c r="B10" i="15" s="1"/>
  <c r="T23" i="15"/>
  <c r="T24" i="15"/>
  <c r="T25" i="15"/>
  <c r="T26" i="15"/>
  <c r="T27" i="15"/>
  <c r="T28" i="15"/>
  <c r="T29" i="15"/>
  <c r="T22" i="15"/>
  <c r="B28" i="14"/>
  <c r="K20" i="15"/>
  <c r="B4" i="8"/>
  <c r="E15" i="14"/>
  <c r="E17" i="14" s="1"/>
  <c r="C35" i="14" s="1"/>
  <c r="F46" i="14"/>
  <c r="B48" i="14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J3" i="8"/>
  <c r="G4" i="8"/>
  <c r="H3" i="8"/>
  <c r="C4" i="8"/>
  <c r="D4" i="8"/>
  <c r="E4" i="8"/>
  <c r="F4" i="8"/>
  <c r="H4" i="8"/>
  <c r="J4" i="8"/>
  <c r="K4" i="8"/>
  <c r="I4" i="8"/>
  <c r="C3" i="8"/>
  <c r="E3" i="8"/>
  <c r="B3" i="8"/>
  <c r="B7" i="8" s="1"/>
  <c r="D3" i="8"/>
  <c r="F3" i="8"/>
  <c r="K3" i="8"/>
  <c r="G3" i="8"/>
  <c r="F19" i="23" l="1"/>
  <c r="F75" i="23" s="1"/>
  <c r="G17" i="23"/>
  <c r="F19" i="20"/>
  <c r="F80" i="20" s="1"/>
  <c r="G17" i="20"/>
  <c r="D20" i="20"/>
  <c r="D20" i="23"/>
  <c r="B18" i="13"/>
  <c r="B16" i="15"/>
  <c r="J69" i="23"/>
  <c r="H69" i="23"/>
  <c r="N69" i="23"/>
  <c r="F69" i="23"/>
  <c r="M69" i="23"/>
  <c r="E69" i="23"/>
  <c r="L69" i="23"/>
  <c r="G69" i="23"/>
  <c r="D69" i="23"/>
  <c r="K69" i="23"/>
  <c r="G65" i="20"/>
  <c r="H65" i="20"/>
  <c r="K65" i="20"/>
  <c r="E65" i="20"/>
  <c r="L65" i="20"/>
  <c r="I65" i="20"/>
  <c r="N65" i="20"/>
  <c r="J65" i="20"/>
  <c r="M65" i="20"/>
  <c r="D65" i="20"/>
  <c r="F65" i="20"/>
  <c r="E40" i="23"/>
  <c r="F40" i="23" s="1"/>
  <c r="G40" i="23" s="1"/>
  <c r="H40" i="23" s="1"/>
  <c r="I40" i="23" s="1"/>
  <c r="J40" i="23" s="1"/>
  <c r="K40" i="23" s="1"/>
  <c r="L40" i="23" s="1"/>
  <c r="M40" i="23" s="1"/>
  <c r="K4" i="10"/>
  <c r="D11" i="12"/>
  <c r="D12" i="12" s="1"/>
  <c r="D14" i="12" s="1"/>
  <c r="F10" i="12"/>
  <c r="E11" i="12"/>
  <c r="E12" i="12" s="1"/>
  <c r="E14" i="12" s="1"/>
  <c r="Q12" i="15"/>
  <c r="AG10" i="15"/>
  <c r="B14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K43" i="15"/>
  <c r="E43" i="15"/>
  <c r="K42" i="15"/>
  <c r="E42" i="15"/>
  <c r="K41" i="15"/>
  <c r="E41" i="15"/>
  <c r="K40" i="15"/>
  <c r="E40" i="15"/>
  <c r="K39" i="15"/>
  <c r="E39" i="15"/>
  <c r="K38" i="15"/>
  <c r="E38" i="15"/>
  <c r="K37" i="15"/>
  <c r="E37" i="15"/>
  <c r="K36" i="15"/>
  <c r="E36" i="15"/>
  <c r="K35" i="15"/>
  <c r="E35" i="15"/>
  <c r="K34" i="15"/>
  <c r="E34" i="15"/>
  <c r="E33" i="15"/>
  <c r="E32" i="15"/>
  <c r="E31" i="15"/>
  <c r="E30" i="15"/>
  <c r="E29" i="15"/>
  <c r="E28" i="15"/>
  <c r="E27" i="15"/>
  <c r="E26" i="15"/>
  <c r="E25" i="15"/>
  <c r="E24" i="15"/>
  <c r="C20" i="15"/>
  <c r="R22" i="15"/>
  <c r="S22" i="15" s="1"/>
  <c r="B30" i="14"/>
  <c r="C46" i="14" s="1"/>
  <c r="G46" i="14" s="1"/>
  <c r="C7" i="8"/>
  <c r="D22" i="23" s="1" a="1"/>
  <c r="E7" i="8"/>
  <c r="G47" i="14"/>
  <c r="F4" i="10"/>
  <c r="D4" i="10"/>
  <c r="C4" i="10"/>
  <c r="E4" i="10"/>
  <c r="B4" i="10"/>
  <c r="G7" i="8"/>
  <c r="F7" i="8"/>
  <c r="D7" i="8"/>
  <c r="H7" i="8"/>
  <c r="I7" i="8"/>
  <c r="J7" i="8"/>
  <c r="K7" i="8"/>
  <c r="G19" i="23" l="1"/>
  <c r="G75" i="23" s="1"/>
  <c r="H17" i="23"/>
  <c r="G19" i="20"/>
  <c r="G80" i="20" s="1"/>
  <c r="H17" i="20"/>
  <c r="A20" i="20"/>
  <c r="E20" i="20"/>
  <c r="F20" i="20" s="1"/>
  <c r="G20" i="20" s="1"/>
  <c r="H20" i="20" s="1"/>
  <c r="I20" i="20" s="1"/>
  <c r="J20" i="20" s="1"/>
  <c r="K20" i="20" s="1"/>
  <c r="L20" i="20" s="1"/>
  <c r="M20" i="20" s="1"/>
  <c r="A20" i="23"/>
  <c r="E20" i="23"/>
  <c r="F20" i="23" s="1"/>
  <c r="G20" i="23" s="1"/>
  <c r="H20" i="23" s="1"/>
  <c r="I20" i="23" s="1"/>
  <c r="J20" i="23" s="1"/>
  <c r="K20" i="23" s="1"/>
  <c r="L20" i="23" s="1"/>
  <c r="M20" i="23" s="1"/>
  <c r="D25" i="20" a="1"/>
  <c r="I69" i="23"/>
  <c r="F41" i="23"/>
  <c r="K41" i="23"/>
  <c r="G41" i="23"/>
  <c r="L41" i="23"/>
  <c r="I41" i="23"/>
  <c r="H41" i="23"/>
  <c r="E41" i="23"/>
  <c r="M41" i="23"/>
  <c r="J41" i="23"/>
  <c r="D51" i="23" a="1"/>
  <c r="D23" i="23" a="1"/>
  <c r="D22" i="20" a="1"/>
  <c r="F11" i="12"/>
  <c r="F12" i="12" s="1"/>
  <c r="F14" i="12" s="1"/>
  <c r="G10" i="12"/>
  <c r="V22" i="15"/>
  <c r="R23" i="15" s="1"/>
  <c r="S23" i="15" s="1"/>
  <c r="U22" i="15"/>
  <c r="Q14" i="15"/>
  <c r="Q17" i="15"/>
  <c r="AJ39" i="15"/>
  <c r="AH37" i="15"/>
  <c r="AH36" i="15"/>
  <c r="AH34" i="15"/>
  <c r="AH31" i="15"/>
  <c r="AH28" i="15"/>
  <c r="AH27" i="15"/>
  <c r="AH25" i="15"/>
  <c r="AH22" i="15"/>
  <c r="AH21" i="15"/>
  <c r="AG42" i="15"/>
  <c r="AH35" i="15"/>
  <c r="AH33" i="15"/>
  <c r="AH32" i="15"/>
  <c r="AH30" i="15"/>
  <c r="AH29" i="15"/>
  <c r="AH26" i="15"/>
  <c r="AH24" i="15"/>
  <c r="AH23" i="15"/>
  <c r="AG13" i="15"/>
  <c r="AG12" i="15"/>
  <c r="AG44" i="15" s="1"/>
  <c r="AH20" i="15"/>
  <c r="AH39" i="15"/>
  <c r="AH38" i="15"/>
  <c r="K29" i="15"/>
  <c r="Z31" i="15"/>
  <c r="K28" i="15"/>
  <c r="Z30" i="15"/>
  <c r="K27" i="15"/>
  <c r="Z29" i="15"/>
  <c r="K26" i="15"/>
  <c r="Z28" i="15"/>
  <c r="K25" i="15"/>
  <c r="Z27" i="15"/>
  <c r="K24" i="15"/>
  <c r="Z26" i="15"/>
  <c r="K23" i="15"/>
  <c r="Z25" i="15"/>
  <c r="K22" i="15"/>
  <c r="Z24" i="15"/>
  <c r="K21" i="15"/>
  <c r="E60" i="15"/>
  <c r="B64" i="15" s="1"/>
  <c r="Z23" i="15"/>
  <c r="D20" i="15"/>
  <c r="G20" i="15"/>
  <c r="C21" i="15" s="1"/>
  <c r="B15" i="15"/>
  <c r="K44" i="15"/>
  <c r="G48" i="14"/>
  <c r="H19" i="23" l="1"/>
  <c r="H75" i="23" s="1"/>
  <c r="I17" i="23"/>
  <c r="H19" i="20"/>
  <c r="H80" i="20" s="1"/>
  <c r="I17" i="20"/>
  <c r="G25" i="23"/>
  <c r="D26" i="20"/>
  <c r="A25" i="20"/>
  <c r="D52" i="23" a="1"/>
  <c r="F25" i="23"/>
  <c r="K42" i="20"/>
  <c r="G42" i="20"/>
  <c r="E42" i="20"/>
  <c r="M42" i="20"/>
  <c r="L42" i="20"/>
  <c r="F42" i="20"/>
  <c r="H42" i="20"/>
  <c r="I42" i="20"/>
  <c r="J42" i="20"/>
  <c r="D52" i="20" a="1"/>
  <c r="E26" i="20"/>
  <c r="F26" i="20"/>
  <c r="G26" i="20"/>
  <c r="H26" i="20"/>
  <c r="F20" i="15"/>
  <c r="E25" i="23"/>
  <c r="D41" i="23"/>
  <c r="D42" i="23" s="1"/>
  <c r="A22" i="23"/>
  <c r="D25" i="23"/>
  <c r="G11" i="12"/>
  <c r="G12" i="12" s="1"/>
  <c r="G14" i="12" s="1"/>
  <c r="H10" i="12"/>
  <c r="Q15" i="15"/>
  <c r="K30" i="15"/>
  <c r="Z32" i="15"/>
  <c r="AJ40" i="15"/>
  <c r="AO25" i="15"/>
  <c r="AO26" i="15" s="1"/>
  <c r="AI20" i="15"/>
  <c r="AI39" i="15"/>
  <c r="AK39" i="15" s="1"/>
  <c r="AI38" i="15"/>
  <c r="AI37" i="15"/>
  <c r="AK37" i="15" s="1"/>
  <c r="AI36" i="15"/>
  <c r="AI35" i="15"/>
  <c r="AK35" i="15" s="1"/>
  <c r="AI34" i="15"/>
  <c r="AI33" i="15"/>
  <c r="AK33" i="15" s="1"/>
  <c r="AI32" i="15"/>
  <c r="AI31" i="15"/>
  <c r="AK31" i="15" s="1"/>
  <c r="AI30" i="15"/>
  <c r="AI29" i="15"/>
  <c r="AK29" i="15" s="1"/>
  <c r="AI28" i="15"/>
  <c r="AI27" i="15"/>
  <c r="AK27" i="15" s="1"/>
  <c r="AI26" i="15"/>
  <c r="AI25" i="15"/>
  <c r="AK25" i="15" s="1"/>
  <c r="AI24" i="15"/>
  <c r="AI23" i="15"/>
  <c r="AK23" i="15" s="1"/>
  <c r="AI22" i="15"/>
  <c r="AI21" i="15"/>
  <c r="AK21" i="15" s="1"/>
  <c r="D21" i="15"/>
  <c r="F21" i="15" s="1"/>
  <c r="G21" i="15"/>
  <c r="C22" i="15" s="1"/>
  <c r="G49" i="14"/>
  <c r="H25" i="23" l="1"/>
  <c r="G48" i="23"/>
  <c r="H48" i="23"/>
  <c r="G31" i="23"/>
  <c r="G76" i="23"/>
  <c r="H76" i="23"/>
  <c r="A23" i="23" s="1"/>
  <c r="I19" i="23"/>
  <c r="J17" i="23"/>
  <c r="I19" i="20"/>
  <c r="J17" i="20"/>
  <c r="H31" i="23"/>
  <c r="A25" i="23"/>
  <c r="D31" i="23"/>
  <c r="D48" i="23"/>
  <c r="D76" i="23"/>
  <c r="E42" i="23"/>
  <c r="A22" i="20"/>
  <c r="D42" i="20"/>
  <c r="D43" i="20" s="1"/>
  <c r="E31" i="23"/>
  <c r="E76" i="23"/>
  <c r="E48" i="23"/>
  <c r="F31" i="23"/>
  <c r="F48" i="23"/>
  <c r="F76" i="23"/>
  <c r="H81" i="20"/>
  <c r="H49" i="20"/>
  <c r="H32" i="20"/>
  <c r="G32" i="20"/>
  <c r="G49" i="20"/>
  <c r="G81" i="20"/>
  <c r="F49" i="20"/>
  <c r="F32" i="20"/>
  <c r="F81" i="20"/>
  <c r="E81" i="20"/>
  <c r="E49" i="20"/>
  <c r="E32" i="20"/>
  <c r="H11" i="12"/>
  <c r="H12" i="12" s="1"/>
  <c r="H14" i="12" s="1"/>
  <c r="I10" i="12"/>
  <c r="J10" i="12" s="1"/>
  <c r="AN16" i="15"/>
  <c r="AK20" i="15"/>
  <c r="AI40" i="15"/>
  <c r="AG45" i="15" s="1"/>
  <c r="AK38" i="15"/>
  <c r="AN25" i="15"/>
  <c r="AP25" i="15" s="1"/>
  <c r="AK36" i="15"/>
  <c r="AN24" i="15"/>
  <c r="AP24" i="15" s="1"/>
  <c r="AN23" i="15"/>
  <c r="AP23" i="15" s="1"/>
  <c r="AK34" i="15"/>
  <c r="AN22" i="15"/>
  <c r="AP22" i="15" s="1"/>
  <c r="AK32" i="15"/>
  <c r="AN21" i="15"/>
  <c r="AP21" i="15" s="1"/>
  <c r="AK30" i="15"/>
  <c r="AN20" i="15"/>
  <c r="AP20" i="15" s="1"/>
  <c r="AK28" i="15"/>
  <c r="AN19" i="15"/>
  <c r="AP19" i="15" s="1"/>
  <c r="AK26" i="15"/>
  <c r="AK24" i="15"/>
  <c r="AN18" i="15"/>
  <c r="AP18" i="15" s="1"/>
  <c r="AK22" i="15"/>
  <c r="AN17" i="15"/>
  <c r="AP17" i="15" s="1"/>
  <c r="G22" i="15"/>
  <c r="C23" i="15" s="1"/>
  <c r="D22" i="15"/>
  <c r="U23" i="15"/>
  <c r="V23" i="15"/>
  <c r="R24" i="15" s="1"/>
  <c r="S24" i="15" s="1"/>
  <c r="G50" i="14"/>
  <c r="G51" i="14"/>
  <c r="H57" i="23" l="1"/>
  <c r="G49" i="23"/>
  <c r="G58" i="23" s="1"/>
  <c r="H49" i="23"/>
  <c r="H58" i="23" s="1"/>
  <c r="G77" i="23"/>
  <c r="G57" i="23"/>
  <c r="H77" i="23"/>
  <c r="I25" i="23"/>
  <c r="I75" i="23"/>
  <c r="J19" i="23"/>
  <c r="K17" i="23"/>
  <c r="I26" i="20"/>
  <c r="I80" i="20"/>
  <c r="J19" i="20"/>
  <c r="K17" i="20"/>
  <c r="G82" i="20"/>
  <c r="G58" i="20"/>
  <c r="F49" i="23"/>
  <c r="F58" i="23" s="1"/>
  <c r="E77" i="23"/>
  <c r="E57" i="23"/>
  <c r="D81" i="20"/>
  <c r="D32" i="20"/>
  <c r="A26" i="20"/>
  <c r="D49" i="20"/>
  <c r="H82" i="20"/>
  <c r="H58" i="20"/>
  <c r="F77" i="23"/>
  <c r="F57" i="23"/>
  <c r="E43" i="20"/>
  <c r="K10" i="12"/>
  <c r="K11" i="12" s="1"/>
  <c r="K12" i="12" s="1"/>
  <c r="K14" i="12" s="1"/>
  <c r="J11" i="12"/>
  <c r="J12" i="12" s="1"/>
  <c r="J14" i="12" s="1"/>
  <c r="H50" i="20"/>
  <c r="H59" i="20" s="1"/>
  <c r="D49" i="23"/>
  <c r="D58" i="23" s="1"/>
  <c r="D77" i="23"/>
  <c r="D57" i="23"/>
  <c r="E49" i="23"/>
  <c r="E58" i="23" s="1"/>
  <c r="E82" i="20"/>
  <c r="E58" i="20"/>
  <c r="F82" i="20"/>
  <c r="F58" i="20"/>
  <c r="E50" i="20"/>
  <c r="E59" i="20" s="1"/>
  <c r="F50" i="20"/>
  <c r="F59" i="20" s="1"/>
  <c r="F42" i="23"/>
  <c r="G50" i="20"/>
  <c r="G59" i="20" s="1"/>
  <c r="I11" i="12"/>
  <c r="I12" i="12" s="1"/>
  <c r="I14" i="12" s="1"/>
  <c r="AN26" i="15"/>
  <c r="AP16" i="15"/>
  <c r="AP26" i="15" s="1"/>
  <c r="G23" i="15"/>
  <c r="D23" i="15"/>
  <c r="F23" i="15" s="1"/>
  <c r="F22" i="15"/>
  <c r="AK40" i="15"/>
  <c r="G52" i="14"/>
  <c r="G50" i="23" l="1"/>
  <c r="G59" i="23"/>
  <c r="H50" i="23"/>
  <c r="H59" i="23"/>
  <c r="I48" i="23"/>
  <c r="I31" i="23"/>
  <c r="I76" i="23"/>
  <c r="J25" i="23"/>
  <c r="J75" i="23"/>
  <c r="K19" i="23"/>
  <c r="L17" i="23"/>
  <c r="I49" i="20"/>
  <c r="I50" i="20" s="1"/>
  <c r="I59" i="20" s="1"/>
  <c r="I32" i="20"/>
  <c r="I81" i="20"/>
  <c r="J26" i="20"/>
  <c r="J80" i="20"/>
  <c r="K19" i="20"/>
  <c r="L17" i="20"/>
  <c r="F59" i="23"/>
  <c r="D50" i="23"/>
  <c r="D53" i="23" s="1"/>
  <c r="E60" i="20"/>
  <c r="D59" i="23"/>
  <c r="H60" i="20"/>
  <c r="D50" i="20"/>
  <c r="D59" i="20" s="1"/>
  <c r="G51" i="20"/>
  <c r="E51" i="20"/>
  <c r="F50" i="23"/>
  <c r="G42" i="23"/>
  <c r="E59" i="23"/>
  <c r="F60" i="20"/>
  <c r="D82" i="20"/>
  <c r="D58" i="20"/>
  <c r="G60" i="20"/>
  <c r="F51" i="20"/>
  <c r="E50" i="23"/>
  <c r="E53" i="23" s="1"/>
  <c r="H51" i="20"/>
  <c r="F43" i="20"/>
  <c r="J20" i="15"/>
  <c r="Y22" i="15"/>
  <c r="L20" i="15"/>
  <c r="C24" i="15"/>
  <c r="M20" i="15"/>
  <c r="AA22" i="15"/>
  <c r="G53" i="14"/>
  <c r="G53" i="23" l="1"/>
  <c r="H53" i="23"/>
  <c r="I49" i="23"/>
  <c r="I58" i="23" s="1"/>
  <c r="I77" i="23"/>
  <c r="I57" i="23"/>
  <c r="J48" i="23"/>
  <c r="J76" i="23"/>
  <c r="J31" i="23"/>
  <c r="K25" i="23"/>
  <c r="K75" i="23"/>
  <c r="L19" i="23"/>
  <c r="M17" i="23"/>
  <c r="M19" i="23" s="1"/>
  <c r="I58" i="20"/>
  <c r="I60" i="20" s="1"/>
  <c r="I82" i="20"/>
  <c r="J32" i="20"/>
  <c r="J49" i="20"/>
  <c r="J81" i="20"/>
  <c r="K26" i="20"/>
  <c r="K80" i="20"/>
  <c r="L19" i="20"/>
  <c r="M17" i="20"/>
  <c r="M19" i="20" s="1"/>
  <c r="I51" i="20"/>
  <c r="D51" i="20"/>
  <c r="D60" i="20"/>
  <c r="H54" i="20"/>
  <c r="F53" i="23"/>
  <c r="F54" i="20"/>
  <c r="E54" i="20"/>
  <c r="G54" i="20"/>
  <c r="G43" i="20"/>
  <c r="H42" i="23"/>
  <c r="G24" i="15"/>
  <c r="C25" i="15" s="1"/>
  <c r="D24" i="15"/>
  <c r="U24" i="15"/>
  <c r="V24" i="15"/>
  <c r="R25" i="15" s="1"/>
  <c r="S25" i="15" s="1"/>
  <c r="G54" i="14"/>
  <c r="I54" i="20" l="1"/>
  <c r="I59" i="23"/>
  <c r="J49" i="23"/>
  <c r="J58" i="23" s="1"/>
  <c r="J57" i="23"/>
  <c r="J77" i="23"/>
  <c r="K48" i="23"/>
  <c r="K76" i="23"/>
  <c r="K31" i="23"/>
  <c r="L25" i="23"/>
  <c r="L75" i="23"/>
  <c r="M25" i="23"/>
  <c r="M75" i="23"/>
  <c r="J82" i="20"/>
  <c r="J58" i="20"/>
  <c r="J50" i="20"/>
  <c r="J59" i="20" s="1"/>
  <c r="K49" i="20"/>
  <c r="K81" i="20"/>
  <c r="K32" i="20"/>
  <c r="L26" i="20"/>
  <c r="L80" i="20"/>
  <c r="M26" i="20"/>
  <c r="M80" i="20"/>
  <c r="I50" i="23"/>
  <c r="I53" i="23" s="1"/>
  <c r="D54" i="20"/>
  <c r="I42" i="23"/>
  <c r="H43" i="20"/>
  <c r="G25" i="15"/>
  <c r="D25" i="15"/>
  <c r="F24" i="15"/>
  <c r="G55" i="14"/>
  <c r="K49" i="23" l="1"/>
  <c r="K58" i="23" s="1"/>
  <c r="K77" i="23"/>
  <c r="K57" i="23"/>
  <c r="L76" i="23"/>
  <c r="L48" i="23"/>
  <c r="L31" i="23"/>
  <c r="M76" i="23"/>
  <c r="M31" i="23"/>
  <c r="M48" i="23"/>
  <c r="K50" i="20"/>
  <c r="K59" i="20" s="1"/>
  <c r="K58" i="20"/>
  <c r="K82" i="20"/>
  <c r="L81" i="20"/>
  <c r="L49" i="20"/>
  <c r="L32" i="20"/>
  <c r="M49" i="20"/>
  <c r="M81" i="20"/>
  <c r="M32" i="20"/>
  <c r="J60" i="20"/>
  <c r="J51" i="20"/>
  <c r="J54" i="20" s="1"/>
  <c r="J50" i="23"/>
  <c r="J53" i="23" s="1"/>
  <c r="J59" i="23"/>
  <c r="I43" i="20"/>
  <c r="J42" i="23"/>
  <c r="C26" i="15"/>
  <c r="AB22" i="15" a="1"/>
  <c r="F25" i="15"/>
  <c r="G56" i="14"/>
  <c r="K60" i="20" l="1"/>
  <c r="K59" i="23"/>
  <c r="L49" i="23"/>
  <c r="L58" i="23" s="1"/>
  <c r="L77" i="23"/>
  <c r="L57" i="23"/>
  <c r="M77" i="23"/>
  <c r="M57" i="23"/>
  <c r="M49" i="23"/>
  <c r="M58" i="23" s="1"/>
  <c r="L50" i="20"/>
  <c r="L59" i="20" s="1"/>
  <c r="L82" i="20"/>
  <c r="L58" i="20"/>
  <c r="M50" i="20"/>
  <c r="M59" i="20" s="1"/>
  <c r="M58" i="20"/>
  <c r="M82" i="20"/>
  <c r="K51" i="20"/>
  <c r="K54" i="20" s="1"/>
  <c r="K50" i="23"/>
  <c r="K53" i="23" s="1"/>
  <c r="K42" i="23"/>
  <c r="J43" i="20"/>
  <c r="G26" i="15"/>
  <c r="C27" i="15" s="1"/>
  <c r="D26" i="15"/>
  <c r="U25" i="15"/>
  <c r="V25" i="15"/>
  <c r="R26" i="15" s="1"/>
  <c r="S26" i="15" s="1"/>
  <c r="G57" i="14"/>
  <c r="M60" i="20" l="1"/>
  <c r="L59" i="23"/>
  <c r="M59" i="23"/>
  <c r="M50" i="23"/>
  <c r="M53" i="23" s="1"/>
  <c r="L51" i="20"/>
  <c r="L54" i="20" s="1"/>
  <c r="L60" i="20"/>
  <c r="M51" i="20"/>
  <c r="M54" i="20" s="1"/>
  <c r="L50" i="23"/>
  <c r="L53" i="23" s="1"/>
  <c r="K43" i="20"/>
  <c r="L42" i="23"/>
  <c r="G27" i="15"/>
  <c r="D27" i="15"/>
  <c r="F27" i="15" s="1"/>
  <c r="F26" i="15"/>
  <c r="G58" i="14"/>
  <c r="M42" i="23" l="1"/>
  <c r="L43" i="20"/>
  <c r="Y23" i="15"/>
  <c r="M21" i="15"/>
  <c r="C28" i="15"/>
  <c r="L21" i="15"/>
  <c r="AA23" i="15"/>
  <c r="J21" i="15"/>
  <c r="V26" i="15"/>
  <c r="R27" i="15" s="1"/>
  <c r="S27" i="15" s="1"/>
  <c r="G59" i="14"/>
  <c r="M43" i="20" l="1"/>
  <c r="P43" i="20" s="1"/>
  <c r="P44" i="20" s="1"/>
  <c r="P45" i="20" s="1"/>
  <c r="P47" i="20" s="1"/>
  <c r="P49" i="20" s="1"/>
  <c r="N64" i="20" s="1"/>
  <c r="N66" i="20" s="1"/>
  <c r="P42" i="23"/>
  <c r="P43" i="23" s="1"/>
  <c r="P44" i="23" s="1"/>
  <c r="P46" i="23" s="1"/>
  <c r="P48" i="23" s="1"/>
  <c r="N63" i="23" s="1"/>
  <c r="N70" i="23" s="1"/>
  <c r="G28" i="15"/>
  <c r="C29" i="15" s="1"/>
  <c r="D28" i="15"/>
  <c r="U26" i="15"/>
  <c r="G60" i="14"/>
  <c r="G29" i="15" l="1"/>
  <c r="D29" i="15"/>
  <c r="F29" i="15" s="1"/>
  <c r="F28" i="15"/>
  <c r="V27" i="15"/>
  <c r="R28" i="15" s="1"/>
  <c r="S28" i="15" s="1"/>
  <c r="G61" i="14"/>
  <c r="C30" i="15" l="1"/>
  <c r="AB23" i="15" a="1"/>
  <c r="U27" i="15"/>
  <c r="V28" i="15"/>
  <c r="R29" i="15" s="1"/>
  <c r="S29" i="15" s="1"/>
  <c r="G62" i="14"/>
  <c r="G30" i="15" l="1"/>
  <c r="C31" i="15" s="1"/>
  <c r="D30" i="15"/>
  <c r="U28" i="15"/>
  <c r="G63" i="14"/>
  <c r="G31" i="15" l="1"/>
  <c r="D31" i="15"/>
  <c r="F31" i="15" s="1"/>
  <c r="F30" i="15"/>
  <c r="V29" i="15"/>
  <c r="R30" i="15" s="1"/>
  <c r="S30" i="15" s="1"/>
  <c r="U29" i="15"/>
  <c r="G64" i="14"/>
  <c r="Y24" i="15" l="1"/>
  <c r="C32" i="15"/>
  <c r="M22" i="15"/>
  <c r="AA24" i="15"/>
  <c r="L22" i="15"/>
  <c r="J22" i="15"/>
  <c r="T30" i="15"/>
  <c r="V30" i="15" s="1"/>
  <c r="R31" i="15" s="1"/>
  <c r="S31" i="15" s="1"/>
  <c r="G65" i="14"/>
  <c r="G32" i="15" l="1"/>
  <c r="C33" i="15" s="1"/>
  <c r="D32" i="15"/>
  <c r="U30" i="15"/>
  <c r="T31" i="15"/>
  <c r="G66" i="14"/>
  <c r="G33" i="15" l="1"/>
  <c r="D33" i="15"/>
  <c r="F33" i="15" s="1"/>
  <c r="F32" i="15"/>
  <c r="V31" i="15"/>
  <c r="R32" i="15" s="1"/>
  <c r="S32" i="15" s="1"/>
  <c r="U31" i="15"/>
  <c r="G67" i="14"/>
  <c r="AB24" i="15" l="1" a="1"/>
  <c r="C34" i="15"/>
  <c r="T32" i="15"/>
  <c r="G68" i="14"/>
  <c r="G34" i="15" l="1"/>
  <c r="C35" i="15" s="1"/>
  <c r="D34" i="15"/>
  <c r="V32" i="15"/>
  <c r="R33" i="15" s="1"/>
  <c r="S33" i="15" s="1"/>
  <c r="G69" i="14"/>
  <c r="G35" i="15" l="1"/>
  <c r="D35" i="15"/>
  <c r="F35" i="15" s="1"/>
  <c r="F34" i="15"/>
  <c r="T33" i="15"/>
  <c r="U32" i="15"/>
  <c r="G70" i="14"/>
  <c r="J23" i="15" l="1"/>
  <c r="Y25" i="15"/>
  <c r="C36" i="15"/>
  <c r="M23" i="15"/>
  <c r="AA25" i="15"/>
  <c r="L23" i="15"/>
  <c r="V33" i="15"/>
  <c r="R34" i="15" s="1"/>
  <c r="S34" i="15" s="1"/>
  <c r="U33" i="15"/>
  <c r="G71" i="14"/>
  <c r="G36" i="15" l="1"/>
  <c r="C37" i="15" s="1"/>
  <c r="D36" i="15"/>
  <c r="T34" i="15"/>
  <c r="G72" i="14"/>
  <c r="G37" i="15" l="1"/>
  <c r="D37" i="15"/>
  <c r="F37" i="15" s="1"/>
  <c r="F36" i="15"/>
  <c r="V34" i="15"/>
  <c r="R35" i="15" s="1"/>
  <c r="S35" i="15" s="1"/>
  <c r="G73" i="14"/>
  <c r="C38" i="15" l="1"/>
  <c r="AB25" i="15" a="1"/>
  <c r="T35" i="15"/>
  <c r="U34" i="15"/>
  <c r="G74" i="14"/>
  <c r="G38" i="15" l="1"/>
  <c r="C39" i="15" s="1"/>
  <c r="D38" i="15"/>
  <c r="V35" i="15"/>
  <c r="R36" i="15" s="1"/>
  <c r="S36" i="15" s="1"/>
  <c r="U35" i="15"/>
  <c r="G75" i="14"/>
  <c r="G39" i="15" l="1"/>
  <c r="D39" i="15"/>
  <c r="F39" i="15" s="1"/>
  <c r="F38" i="15"/>
  <c r="T36" i="15"/>
  <c r="G76" i="14"/>
  <c r="Y26" i="15" l="1"/>
  <c r="J24" i="15"/>
  <c r="C40" i="15"/>
  <c r="M24" i="15"/>
  <c r="L24" i="15"/>
  <c r="AA26" i="15"/>
  <c r="V36" i="15"/>
  <c r="R37" i="15" s="1"/>
  <c r="S37" i="15" s="1"/>
  <c r="G77" i="14"/>
  <c r="G40" i="15" l="1"/>
  <c r="C41" i="15" s="1"/>
  <c r="D40" i="15"/>
  <c r="T37" i="15"/>
  <c r="U36" i="15"/>
  <c r="G78" i="14"/>
  <c r="G41" i="15" l="1"/>
  <c r="D41" i="15"/>
  <c r="F41" i="15" s="1"/>
  <c r="F40" i="15"/>
  <c r="V37" i="15"/>
  <c r="R38" i="15" s="1"/>
  <c r="S38" i="15" s="1"/>
  <c r="G79" i="14"/>
  <c r="AB26" i="15" l="1" a="1"/>
  <c r="C42" i="15"/>
  <c r="T38" i="15"/>
  <c r="V38" i="15" s="1"/>
  <c r="R39" i="15" s="1"/>
  <c r="S39" i="15" s="1"/>
  <c r="U37" i="15"/>
  <c r="G80" i="14"/>
  <c r="G42" i="15" l="1"/>
  <c r="C43" i="15" s="1"/>
  <c r="D42" i="15"/>
  <c r="T39" i="15"/>
  <c r="U38" i="15"/>
  <c r="G81" i="14"/>
  <c r="G43" i="15" l="1"/>
  <c r="D43" i="15"/>
  <c r="F43" i="15" s="1"/>
  <c r="Y27" i="15"/>
  <c r="F42" i="15"/>
  <c r="V39" i="15"/>
  <c r="R40" i="15" s="1"/>
  <c r="S40" i="15" s="1"/>
  <c r="G82" i="14"/>
  <c r="J25" i="15" l="1"/>
  <c r="L25" i="15"/>
  <c r="C44" i="15"/>
  <c r="M25" i="15"/>
  <c r="AA27" i="15"/>
  <c r="T40" i="15"/>
  <c r="V40" i="15" s="1"/>
  <c r="R41" i="15" s="1"/>
  <c r="S41" i="15" s="1"/>
  <c r="U39" i="15"/>
  <c r="G83" i="14"/>
  <c r="G44" i="15" l="1"/>
  <c r="C45" i="15" s="1"/>
  <c r="D44" i="15"/>
  <c r="T41" i="15"/>
  <c r="U40" i="15"/>
  <c r="G84" i="14"/>
  <c r="G85" i="14" s="1"/>
  <c r="G45" i="15" l="1"/>
  <c r="D45" i="15"/>
  <c r="F45" i="15" s="1"/>
  <c r="F44" i="15"/>
  <c r="V41" i="15"/>
  <c r="R42" i="15" s="1"/>
  <c r="S42" i="15" s="1"/>
  <c r="G86" i="14"/>
  <c r="AB27" i="15" l="1" a="1"/>
  <c r="C46" i="15"/>
  <c r="T42" i="15"/>
  <c r="U41" i="15"/>
  <c r="G46" i="15" l="1"/>
  <c r="C47" i="15" s="1"/>
  <c r="D46" i="15"/>
  <c r="V42" i="15"/>
  <c r="R43" i="15" s="1"/>
  <c r="S43" i="15" s="1"/>
  <c r="U42" i="15"/>
  <c r="G47" i="15" l="1"/>
  <c r="D47" i="15"/>
  <c r="F47" i="15" s="1"/>
  <c r="F46" i="15"/>
  <c r="T43" i="15"/>
  <c r="Y28" i="15" l="1"/>
  <c r="J26" i="15"/>
  <c r="M26" i="15"/>
  <c r="C48" i="15"/>
  <c r="L26" i="15"/>
  <c r="AA28" i="15"/>
  <c r="V43" i="15"/>
  <c r="R44" i="15" s="1"/>
  <c r="S44" i="15" s="1"/>
  <c r="U43" i="15"/>
  <c r="G48" i="15" l="1"/>
  <c r="C49" i="15" s="1"/>
  <c r="D48" i="15"/>
  <c r="T44" i="15"/>
  <c r="G49" i="15" l="1"/>
  <c r="D49" i="15"/>
  <c r="F49" i="15" s="1"/>
  <c r="F48" i="15"/>
  <c r="V44" i="15"/>
  <c r="R45" i="15" s="1"/>
  <c r="S45" i="15" s="1"/>
  <c r="U44" i="15"/>
  <c r="C50" i="15" l="1"/>
  <c r="AB28" i="15" a="1"/>
  <c r="T45" i="15"/>
  <c r="G50" i="15" l="1"/>
  <c r="C51" i="15" s="1"/>
  <c r="D50" i="15"/>
  <c r="V45" i="15"/>
  <c r="R46" i="15" s="1"/>
  <c r="S46" i="15" s="1"/>
  <c r="U45" i="15"/>
  <c r="G51" i="15" l="1"/>
  <c r="D51" i="15"/>
  <c r="F51" i="15" s="1"/>
  <c r="F50" i="15"/>
  <c r="T46" i="15"/>
  <c r="Y29" i="15" l="1"/>
  <c r="J27" i="15"/>
  <c r="C52" i="15"/>
  <c r="M27" i="15"/>
  <c r="AA29" i="15"/>
  <c r="L27" i="15"/>
  <c r="V46" i="15"/>
  <c r="R47" i="15" s="1"/>
  <c r="S47" i="15" s="1"/>
  <c r="U46" i="15"/>
  <c r="G52" i="15" l="1"/>
  <c r="C53" i="15" s="1"/>
  <c r="D52" i="15"/>
  <c r="T47" i="15"/>
  <c r="G53" i="15" l="1"/>
  <c r="D53" i="15"/>
  <c r="F53" i="15" s="1"/>
  <c r="F52" i="15"/>
  <c r="V47" i="15"/>
  <c r="R48" i="15" s="1"/>
  <c r="S48" i="15" s="1"/>
  <c r="U47" i="15"/>
  <c r="AB29" i="15" l="1" a="1"/>
  <c r="C54" i="15"/>
  <c r="T48" i="15"/>
  <c r="G54" i="15" l="1"/>
  <c r="C55" i="15" s="1"/>
  <c r="D54" i="15"/>
  <c r="V48" i="15"/>
  <c r="R49" i="15" s="1"/>
  <c r="S49" i="15" s="1"/>
  <c r="U48" i="15"/>
  <c r="G55" i="15" l="1"/>
  <c r="D55" i="15"/>
  <c r="F55" i="15" s="1"/>
  <c r="F54" i="15"/>
  <c r="T49" i="15"/>
  <c r="Y30" i="15" l="1"/>
  <c r="C56" i="15"/>
  <c r="M28" i="15"/>
  <c r="AA30" i="15"/>
  <c r="L28" i="15"/>
  <c r="J28" i="15"/>
  <c r="V49" i="15"/>
  <c r="R50" i="15" s="1"/>
  <c r="S50" i="15" s="1"/>
  <c r="U49" i="15"/>
  <c r="G56" i="15" l="1"/>
  <c r="C57" i="15" s="1"/>
  <c r="D56" i="15"/>
  <c r="T50" i="15"/>
  <c r="G57" i="15" l="1"/>
  <c r="D57" i="15"/>
  <c r="F57" i="15" s="1"/>
  <c r="F56" i="15"/>
  <c r="V50" i="15"/>
  <c r="R51" i="15" s="1"/>
  <c r="S51" i="15" s="1"/>
  <c r="U50" i="15"/>
  <c r="C58" i="15" l="1"/>
  <c r="AB30" i="15" a="1"/>
  <c r="T51" i="15"/>
  <c r="G58" i="15" l="1"/>
  <c r="C59" i="15" s="1"/>
  <c r="D58" i="15"/>
  <c r="V51" i="15"/>
  <c r="R52" i="15" s="1"/>
  <c r="S52" i="15" s="1"/>
  <c r="U51" i="15"/>
  <c r="G59" i="15" l="1"/>
  <c r="M29" i="15" s="1"/>
  <c r="D59" i="15"/>
  <c r="F59" i="15" s="1"/>
  <c r="F58" i="15"/>
  <c r="T52" i="15"/>
  <c r="D91" i="20" l="1" a="1"/>
  <c r="AA31" i="15"/>
  <c r="AA32" i="15" s="1"/>
  <c r="Y31" i="15"/>
  <c r="Y32" i="15" s="1"/>
  <c r="V52" i="15"/>
  <c r="R53" i="15" s="1"/>
  <c r="S53" i="15" s="1"/>
  <c r="D60" i="15"/>
  <c r="F60" i="15"/>
  <c r="B65" i="15" s="1"/>
  <c r="L29" i="15"/>
  <c r="J29" i="15"/>
  <c r="U52" i="15"/>
  <c r="M67" i="20" l="1"/>
  <c r="L67" i="20"/>
  <c r="K67" i="20"/>
  <c r="J67" i="20"/>
  <c r="H67" i="20"/>
  <c r="G67" i="20"/>
  <c r="F67" i="20"/>
  <c r="D67" i="20"/>
  <c r="I67" i="20"/>
  <c r="E67" i="20"/>
  <c r="J30" i="15"/>
  <c r="D89" i="20" a="1"/>
  <c r="D92" i="20" s="1"/>
  <c r="E92" i="20"/>
  <c r="F92" i="20"/>
  <c r="G92" i="20"/>
  <c r="H92" i="20"/>
  <c r="I92" i="20"/>
  <c r="J92" i="20"/>
  <c r="K92" i="20"/>
  <c r="L92" i="20"/>
  <c r="M92" i="20"/>
  <c r="D26" i="23" a="1"/>
  <c r="L30" i="15"/>
  <c r="B63" i="15"/>
  <c r="B66" i="15"/>
  <c r="T53" i="15"/>
  <c r="I27" i="23"/>
  <c r="F27" i="23"/>
  <c r="M27" i="23"/>
  <c r="L27" i="23"/>
  <c r="J27" i="23"/>
  <c r="K27" i="23"/>
  <c r="H27" i="23" l="1"/>
  <c r="G27" i="23"/>
  <c r="E27" i="23"/>
  <c r="V53" i="15"/>
  <c r="R54" i="15" s="1"/>
  <c r="S54" i="15" s="1"/>
  <c r="U53" i="15"/>
  <c r="G88" i="20"/>
  <c r="F88" i="20"/>
  <c r="E88" i="20"/>
  <c r="J28" i="20"/>
  <c r="G28" i="20"/>
  <c r="M28" i="20"/>
  <c r="K28" i="20"/>
  <c r="I28" i="20"/>
  <c r="F28" i="20"/>
  <c r="E28" i="20"/>
  <c r="L28" i="20"/>
  <c r="H28" i="20"/>
  <c r="D88" i="20"/>
  <c r="M88" i="20"/>
  <c r="L88" i="20"/>
  <c r="K88" i="20"/>
  <c r="J88" i="20"/>
  <c r="I88" i="20"/>
  <c r="H88" i="20"/>
  <c r="I28" i="23"/>
  <c r="I36" i="23" s="1"/>
  <c r="I37" i="23" s="1"/>
  <c r="A26" i="23"/>
  <c r="D27" i="23"/>
  <c r="J28" i="23"/>
  <c r="J36" i="23" s="1"/>
  <c r="J37" i="23" s="1"/>
  <c r="L28" i="23"/>
  <c r="L36" i="23" s="1"/>
  <c r="L37" i="23" s="1"/>
  <c r="M28" i="23"/>
  <c r="M36" i="23" s="1"/>
  <c r="M37" i="23" s="1"/>
  <c r="K28" i="23"/>
  <c r="K36" i="23" s="1"/>
  <c r="K37" i="23" s="1"/>
  <c r="A27" i="20"/>
  <c r="D28" i="20"/>
  <c r="F28" i="23"/>
  <c r="F36" i="23" s="1"/>
  <c r="F37" i="23" s="1"/>
  <c r="T54" i="15"/>
  <c r="F29" i="23" l="1"/>
  <c r="J29" i="23"/>
  <c r="H28" i="23"/>
  <c r="H36" i="23" s="1"/>
  <c r="H37" i="23" s="1"/>
  <c r="M29" i="20"/>
  <c r="M37" i="20" s="1"/>
  <c r="M38" i="20" s="1"/>
  <c r="G28" i="23"/>
  <c r="G36" i="23" s="1"/>
  <c r="G37" i="23" s="1"/>
  <c r="E28" i="23"/>
  <c r="E36" i="23" s="1"/>
  <c r="E37" i="23" s="1"/>
  <c r="K29" i="23"/>
  <c r="I29" i="20"/>
  <c r="I37" i="20" s="1"/>
  <c r="I38" i="20" s="1"/>
  <c r="M29" i="23"/>
  <c r="K29" i="20"/>
  <c r="K37" i="20" s="1"/>
  <c r="K38" i="20" s="1"/>
  <c r="L29" i="20"/>
  <c r="L37" i="20" s="1"/>
  <c r="L38" i="20" s="1"/>
  <c r="G29" i="20"/>
  <c r="G37" i="20" s="1"/>
  <c r="G38" i="20" s="1"/>
  <c r="E29" i="20"/>
  <c r="E37" i="20" s="1"/>
  <c r="E38" i="20" s="1"/>
  <c r="H29" i="20"/>
  <c r="H37" i="20" s="1"/>
  <c r="H38" i="20" s="1"/>
  <c r="J29" i="20"/>
  <c r="J37" i="20" s="1"/>
  <c r="J38" i="20" s="1"/>
  <c r="F29" i="20"/>
  <c r="F37" i="20" s="1"/>
  <c r="F38" i="20" s="1"/>
  <c r="F78" i="23"/>
  <c r="F80" i="23" s="1"/>
  <c r="F44" i="23"/>
  <c r="F74" i="23" s="1"/>
  <c r="F81" i="23" s="1"/>
  <c r="M38" i="23"/>
  <c r="M60" i="23" s="1"/>
  <c r="M61" i="23" s="1"/>
  <c r="M63" i="23" s="1"/>
  <c r="M70" i="23" s="1"/>
  <c r="M78" i="23"/>
  <c r="M80" i="23" s="1"/>
  <c r="M44" i="23"/>
  <c r="M74" i="23" s="1"/>
  <c r="M81" i="23" s="1"/>
  <c r="J78" i="23"/>
  <c r="J80" i="23" s="1"/>
  <c r="J38" i="23"/>
  <c r="J60" i="23" s="1"/>
  <c r="J61" i="23" s="1"/>
  <c r="J63" i="23" s="1"/>
  <c r="J70" i="23" s="1"/>
  <c r="J44" i="23"/>
  <c r="J74" i="23" s="1"/>
  <c r="J81" i="23" s="1"/>
  <c r="A27" i="23"/>
  <c r="D28" i="23"/>
  <c r="D29" i="20"/>
  <c r="A28" i="20"/>
  <c r="K38" i="23"/>
  <c r="K60" i="23" s="1"/>
  <c r="K61" i="23" s="1"/>
  <c r="K63" i="23" s="1"/>
  <c r="K70" i="23" s="1"/>
  <c r="K78" i="23"/>
  <c r="K80" i="23" s="1"/>
  <c r="K44" i="23"/>
  <c r="K74" i="23" s="1"/>
  <c r="K81" i="23" s="1"/>
  <c r="L29" i="23"/>
  <c r="I29" i="23"/>
  <c r="L38" i="23"/>
  <c r="L60" i="23" s="1"/>
  <c r="L61" i="23" s="1"/>
  <c r="L63" i="23" s="1"/>
  <c r="L78" i="23"/>
  <c r="L80" i="23" s="1"/>
  <c r="L44" i="23"/>
  <c r="L74" i="23" s="1"/>
  <c r="L81" i="23" s="1"/>
  <c r="I78" i="23"/>
  <c r="I80" i="23" s="1"/>
  <c r="I44" i="23"/>
  <c r="I74" i="23" s="1"/>
  <c r="I81" i="23" s="1"/>
  <c r="V54" i="15"/>
  <c r="R55" i="15" s="1"/>
  <c r="S55" i="15" s="1"/>
  <c r="U54" i="15"/>
  <c r="F45" i="20" l="1"/>
  <c r="F79" i="20" s="1"/>
  <c r="F86" i="20" s="1"/>
  <c r="F83" i="20"/>
  <c r="F85" i="20" s="1"/>
  <c r="M45" i="20"/>
  <c r="M79" i="20" s="1"/>
  <c r="M86" i="20" s="1"/>
  <c r="M83" i="20"/>
  <c r="M85" i="20" s="1"/>
  <c r="I83" i="20"/>
  <c r="I85" i="20" s="1"/>
  <c r="I45" i="20"/>
  <c r="I79" i="20" s="1"/>
  <c r="I86" i="20" s="1"/>
  <c r="G29" i="23"/>
  <c r="H78" i="23"/>
  <c r="H80" i="23" s="1"/>
  <c r="H38" i="23"/>
  <c r="H60" i="23" s="1"/>
  <c r="H61" i="23" s="1"/>
  <c r="H63" i="23" s="1"/>
  <c r="H70" i="23" s="1"/>
  <c r="G78" i="23"/>
  <c r="G80" i="23" s="1"/>
  <c r="I38" i="23"/>
  <c r="I60" i="23" s="1"/>
  <c r="I61" i="23" s="1"/>
  <c r="I63" i="23" s="1"/>
  <c r="I70" i="23" s="1"/>
  <c r="H44" i="23"/>
  <c r="H74" i="23" s="1"/>
  <c r="H81" i="23" s="1"/>
  <c r="E78" i="23"/>
  <c r="E80" i="23" s="1"/>
  <c r="E44" i="23"/>
  <c r="E74" i="23" s="1"/>
  <c r="E81" i="23" s="1"/>
  <c r="H29" i="23"/>
  <c r="F38" i="23"/>
  <c r="F60" i="23" s="1"/>
  <c r="F61" i="23" s="1"/>
  <c r="F63" i="23" s="1"/>
  <c r="F70" i="23" s="1"/>
  <c r="K30" i="20"/>
  <c r="L30" i="20"/>
  <c r="E30" i="20"/>
  <c r="H30" i="20"/>
  <c r="I30" i="20"/>
  <c r="M30" i="20"/>
  <c r="E29" i="23"/>
  <c r="G38" i="23"/>
  <c r="G60" i="23" s="1"/>
  <c r="G61" i="23" s="1"/>
  <c r="G63" i="23" s="1"/>
  <c r="G70" i="23" s="1"/>
  <c r="G44" i="23"/>
  <c r="G74" i="23" s="1"/>
  <c r="G81" i="23" s="1"/>
  <c r="F39" i="20"/>
  <c r="F61" i="20" s="1"/>
  <c r="F62" i="20" s="1"/>
  <c r="F90" i="20" s="1"/>
  <c r="M39" i="20"/>
  <c r="M61" i="20" s="1"/>
  <c r="M62" i="20" s="1"/>
  <c r="M90" i="20" s="1"/>
  <c r="G30" i="20"/>
  <c r="K83" i="20"/>
  <c r="K85" i="20" s="1"/>
  <c r="K45" i="20"/>
  <c r="K79" i="20" s="1"/>
  <c r="K86" i="20" s="1"/>
  <c r="F30" i="20"/>
  <c r="H83" i="20"/>
  <c r="H85" i="20" s="1"/>
  <c r="H39" i="20"/>
  <c r="H61" i="20" s="1"/>
  <c r="H62" i="20" s="1"/>
  <c r="H90" i="20" s="1"/>
  <c r="H45" i="20"/>
  <c r="H79" i="20" s="1"/>
  <c r="H86" i="20" s="1"/>
  <c r="L83" i="20"/>
  <c r="L85" i="20" s="1"/>
  <c r="L39" i="20"/>
  <c r="L61" i="20" s="1"/>
  <c r="L62" i="20" s="1"/>
  <c r="L90" i="20" s="1"/>
  <c r="L45" i="20"/>
  <c r="L79" i="20" s="1"/>
  <c r="L86" i="20" s="1"/>
  <c r="G83" i="20"/>
  <c r="G85" i="20" s="1"/>
  <c r="G39" i="20"/>
  <c r="G61" i="20" s="1"/>
  <c r="G62" i="20" s="1"/>
  <c r="G90" i="20" s="1"/>
  <c r="G45" i="20"/>
  <c r="G79" i="20" s="1"/>
  <c r="G86" i="20" s="1"/>
  <c r="I39" i="20"/>
  <c r="I61" i="20" s="1"/>
  <c r="I62" i="20" s="1"/>
  <c r="I90" i="20" s="1"/>
  <c r="J30" i="20"/>
  <c r="J39" i="20"/>
  <c r="J61" i="20" s="1"/>
  <c r="J62" i="20" s="1"/>
  <c r="J90" i="20" s="1"/>
  <c r="J83" i="20"/>
  <c r="J85" i="20" s="1"/>
  <c r="K39" i="20"/>
  <c r="K61" i="20" s="1"/>
  <c r="K62" i="20" s="1"/>
  <c r="K90" i="20" s="1"/>
  <c r="E83" i="20"/>
  <c r="E85" i="20" s="1"/>
  <c r="E45" i="20"/>
  <c r="J45" i="20"/>
  <c r="J79" i="20" s="1"/>
  <c r="J86" i="20" s="1"/>
  <c r="L70" i="23"/>
  <c r="A28" i="23"/>
  <c r="D36" i="23"/>
  <c r="D30" i="20"/>
  <c r="A30" i="20" s="1"/>
  <c r="D37" i="20"/>
  <c r="A29" i="20"/>
  <c r="D29" i="23"/>
  <c r="A29" i="23" s="1"/>
  <c r="T55" i="15"/>
  <c r="F64" i="20" l="1"/>
  <c r="F68" i="20" s="1"/>
  <c r="M64" i="20"/>
  <c r="M68" i="20" s="1"/>
  <c r="K64" i="20"/>
  <c r="K68" i="20" s="1"/>
  <c r="L64" i="20"/>
  <c r="L68" i="20" s="1"/>
  <c r="H64" i="20"/>
  <c r="H68" i="20" s="1"/>
  <c r="I64" i="20"/>
  <c r="I68" i="20" s="1"/>
  <c r="E79" i="20"/>
  <c r="E86" i="20" s="1"/>
  <c r="J64" i="20"/>
  <c r="J68" i="20" s="1"/>
  <c r="G64" i="20"/>
  <c r="G68" i="20" s="1"/>
  <c r="A37" i="20"/>
  <c r="D38" i="20"/>
  <c r="D83" i="20" s="1"/>
  <c r="A36" i="23"/>
  <c r="D37" i="23"/>
  <c r="V55" i="15"/>
  <c r="R56" i="15" s="1"/>
  <c r="S56" i="15" s="1"/>
  <c r="U55" i="15"/>
  <c r="F66" i="20" l="1"/>
  <c r="M66" i="20"/>
  <c r="K66" i="20"/>
  <c r="L66" i="20"/>
  <c r="H66" i="20"/>
  <c r="I66" i="20"/>
  <c r="J66" i="20"/>
  <c r="G66" i="20"/>
  <c r="E38" i="23"/>
  <c r="E60" i="23" s="1"/>
  <c r="E61" i="23" s="1"/>
  <c r="E63" i="23" s="1"/>
  <c r="E70" i="23" s="1"/>
  <c r="D38" i="23"/>
  <c r="D60" i="23" s="1"/>
  <c r="D61" i="23" s="1"/>
  <c r="D63" i="23" s="1"/>
  <c r="D78" i="23"/>
  <c r="D80" i="23" s="1"/>
  <c r="D44" i="23"/>
  <c r="D74" i="23" s="1"/>
  <c r="D81" i="23" s="1"/>
  <c r="D85" i="20"/>
  <c r="D39" i="20"/>
  <c r="D61" i="20" s="1"/>
  <c r="D62" i="20" s="1"/>
  <c r="D90" i="20" s="1"/>
  <c r="D45" i="20"/>
  <c r="D79" i="20" s="1"/>
  <c r="D86" i="20" s="1"/>
  <c r="E39" i="20"/>
  <c r="E61" i="20" s="1"/>
  <c r="E62" i="20" s="1"/>
  <c r="E90" i="20" s="1"/>
  <c r="T56" i="15"/>
  <c r="E64" i="20" l="1"/>
  <c r="E68" i="20" s="1"/>
  <c r="D64" i="20"/>
  <c r="D68" i="20" s="1"/>
  <c r="D70" i="23"/>
  <c r="C71" i="23" s="1"/>
  <c r="C67" i="23"/>
  <c r="C66" i="23"/>
  <c r="V56" i="15"/>
  <c r="R57" i="15" s="1"/>
  <c r="S57" i="15" s="1"/>
  <c r="U56" i="15"/>
  <c r="E66" i="20" l="1"/>
  <c r="D66" i="20"/>
  <c r="C73" i="20" s="1"/>
  <c r="C72" i="20"/>
  <c r="C76" i="20"/>
  <c r="C71" i="20"/>
  <c r="T57" i="15"/>
  <c r="V57" i="15" l="1"/>
  <c r="R58" i="15" s="1"/>
  <c r="S58" i="15" s="1"/>
  <c r="U57" i="15"/>
  <c r="T58" i="15" l="1"/>
  <c r="V58" i="15" l="1"/>
  <c r="R59" i="15" s="1"/>
  <c r="S59" i="15" s="1"/>
  <c r="U58" i="15"/>
  <c r="T59" i="15" l="1"/>
  <c r="V59" i="15" l="1"/>
  <c r="R60" i="15" s="1"/>
  <c r="S60" i="15" s="1"/>
  <c r="U59" i="15"/>
  <c r="T60" i="15" l="1"/>
  <c r="V60" i="15" l="1"/>
  <c r="R61" i="15" s="1"/>
  <c r="S61" i="15" s="1"/>
  <c r="U60" i="15"/>
  <c r="T61" i="15" l="1"/>
  <c r="S62" i="15"/>
  <c r="U61" i="15" l="1"/>
  <c r="U62" i="15" s="1"/>
  <c r="Q67" i="15" s="1"/>
  <c r="Q68" i="15"/>
  <c r="Q65" i="15"/>
  <c r="V61" i="15"/>
  <c r="T62" i="15"/>
  <c r="Q66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SOFIA NANCLARES RUA</author>
  </authors>
  <commentList>
    <comment ref="F13" authorId="0" shapeId="0" xr:uid="{B80162C3-8E4A-47BD-9DE9-1222B9866A56}">
      <text>
        <r>
          <rPr>
            <b/>
            <sz val="9"/>
            <color rgb="FF000000"/>
            <rFont val="Tahoma"/>
            <family val="2"/>
          </rPr>
          <t>ANA SOFIA NANCLARES RUA: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utilizó el IBR Overnight publicado por el Banco de la República de 10,516%, por ser la referencia oficial vigente al momento del análisis.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<sst xmlns="http://schemas.openxmlformats.org/spreadsheetml/2006/main" count="686" uniqueCount="376">
  <si>
    <r>
      <t xml:space="preserve">Según el estatuto tributario de los impuestos administrados por la dirección general de impuestos nacionales
artículo 137, </t>
    </r>
    <r>
      <rPr>
        <b/>
        <sz val="12"/>
        <color theme="1"/>
        <rFont val="Aptos Narrow"/>
        <family val="2"/>
        <scheme val="minor"/>
      </rPr>
      <t>hay un límite a la deducción por depreciación</t>
    </r>
    <r>
      <rPr>
        <sz val="12"/>
        <color theme="1"/>
        <rFont val="Aptos Narrow"/>
        <family val="2"/>
        <scheme val="minor"/>
      </rPr>
      <t xml:space="preserve">.
Para </t>
    </r>
    <r>
      <rPr>
        <b/>
        <sz val="12"/>
        <color theme="1"/>
        <rFont val="Aptos Narrow"/>
        <family val="2"/>
        <scheme val="minor"/>
      </rPr>
      <t>construcciones y edificaciones</t>
    </r>
    <r>
      <rPr>
        <sz val="12"/>
        <color theme="1"/>
        <rFont val="Aptos Narrow"/>
        <family val="2"/>
        <scheme val="minor"/>
      </rPr>
      <t xml:space="preserve"> (obras civiles), </t>
    </r>
    <r>
      <rPr>
        <b/>
        <sz val="12"/>
        <color theme="1"/>
        <rFont val="Aptos Narrow"/>
        <family val="2"/>
        <scheme val="minor"/>
      </rPr>
      <t>la tasa de depreciación fiscal anual es del 2.22%</t>
    </r>
    <r>
      <rPr>
        <sz val="12"/>
        <color theme="1"/>
        <rFont val="Aptos Narrow"/>
        <family val="2"/>
        <scheme val="minor"/>
      </rPr>
      <t xml:space="preserve">, para
</t>
    </r>
    <r>
      <rPr>
        <b/>
        <sz val="12"/>
        <color theme="1"/>
        <rFont val="Aptos Narrow"/>
        <family val="2"/>
        <scheme val="minor"/>
      </rPr>
      <t>maquinaria y equipos</t>
    </r>
    <r>
      <rPr>
        <sz val="12"/>
        <color theme="1"/>
        <rFont val="Aptos Narrow"/>
        <family val="2"/>
        <scheme val="minor"/>
      </rPr>
      <t xml:space="preserve">, es del </t>
    </r>
    <r>
      <rPr>
        <b/>
        <sz val="12"/>
        <color theme="1"/>
        <rFont val="Aptos Narrow"/>
        <family val="2"/>
        <scheme val="minor"/>
      </rPr>
      <t>10%</t>
    </r>
    <r>
      <rPr>
        <sz val="12"/>
        <color theme="1"/>
        <rFont val="Aptos Narrow"/>
        <family val="2"/>
        <scheme val="minor"/>
      </rPr>
      <t xml:space="preserve"> y para </t>
    </r>
    <r>
      <rPr>
        <b/>
        <sz val="12"/>
        <color theme="1"/>
        <rFont val="Aptos Narrow"/>
        <family val="2"/>
        <scheme val="minor"/>
      </rPr>
      <t>muebles y enseres</t>
    </r>
    <r>
      <rPr>
        <sz val="12"/>
        <color theme="1"/>
        <rFont val="Aptos Narrow"/>
        <family val="2"/>
        <scheme val="minor"/>
      </rPr>
      <t xml:space="preserve"> es del </t>
    </r>
    <r>
      <rPr>
        <b/>
        <sz val="12"/>
        <color theme="1"/>
        <rFont val="Aptos Narrow"/>
        <family val="2"/>
        <scheme val="minor"/>
      </rPr>
      <t>10%</t>
    </r>
    <r>
      <rPr>
        <sz val="12"/>
        <color theme="1"/>
        <rFont val="Aptos Narrow"/>
        <family val="2"/>
        <scheme val="minor"/>
      </rPr>
      <t xml:space="preserve">. Entonces como la tasa se calcula como
</t>
    </r>
    <r>
      <rPr>
        <b/>
        <sz val="12"/>
        <color theme="1"/>
        <rFont val="Aptos Narrow"/>
        <family val="2"/>
        <scheme val="minor"/>
      </rPr>
      <t>tasa=1/vida útil</t>
    </r>
    <r>
      <rPr>
        <sz val="12"/>
        <color theme="1"/>
        <rFont val="Aptos Narrow"/>
        <family val="2"/>
        <scheme val="minor"/>
      </rPr>
      <t xml:space="preserve">, se puede despejar la vida útil como 1/tasa. Para </t>
    </r>
    <r>
      <rPr>
        <b/>
        <sz val="12"/>
        <color theme="1"/>
        <rFont val="Aptos Narrow"/>
        <family val="2"/>
        <scheme val="minor"/>
      </rPr>
      <t>maquinaria y equipos</t>
    </r>
    <r>
      <rPr>
        <sz val="12"/>
        <color theme="1"/>
        <rFont val="Aptos Narrow"/>
        <family val="2"/>
        <scheme val="minor"/>
      </rPr>
      <t xml:space="preserve"> la tasa máxima es 10%, por lo que 1/0.1 = </t>
    </r>
    <r>
      <rPr>
        <b/>
        <sz val="12"/>
        <color theme="1"/>
        <rFont val="Aptos Narrow"/>
        <family val="2"/>
        <scheme val="minor"/>
      </rPr>
      <t>10 años es la vida útil mínima que se puede ponerle a estos activos</t>
    </r>
    <r>
      <rPr>
        <sz val="12"/>
        <color theme="1"/>
        <rFont val="Aptos Narrow"/>
        <family val="2"/>
        <scheme val="minor"/>
      </rPr>
      <t>. Dado que
20 años son más que 10 años, es totalmente viable poner 20 años como vida útil a la maquinaria y equipo. Esta misma vida útil se puede poner al montaje y el transporte de equipos ya que son costos de puesta en marcha que se capitalizan
como parte del costo de la maquinaria. Para los muebles y enseres y obras civiles, utilizaremos la vida útil mínima.</t>
    </r>
  </si>
  <si>
    <t>https://leyes.co/se_expide_el_estatuto_tributario_de_los_impuestos_administrados_por_la_direccion_general_de_impuestos_nacionales/137.htm</t>
  </si>
  <si>
    <t>Inversión en Activos Fijos Inicial</t>
  </si>
  <si>
    <t>Inversión inicial</t>
  </si>
  <si>
    <t>millones de COP</t>
  </si>
  <si>
    <t>Tasa máxima</t>
  </si>
  <si>
    <t>Vida útil</t>
  </si>
  <si>
    <t>Nota</t>
  </si>
  <si>
    <t>Maquinaria y Equipos</t>
  </si>
  <si>
    <t>Sacado de la nota 13 del PDF</t>
  </si>
  <si>
    <t>Muebles y Enseres</t>
  </si>
  <si>
    <t>Vida útil mínima</t>
  </si>
  <si>
    <t>Obras Civiles</t>
  </si>
  <si>
    <t>Montaje</t>
  </si>
  <si>
    <t>N/A</t>
  </si>
  <si>
    <t>Transporte de Equipos</t>
  </si>
  <si>
    <t>Total Capex Activos Fijos</t>
  </si>
  <si>
    <t>¿Costo hundido?</t>
  </si>
  <si>
    <t>Estudio de Mercado</t>
  </si>
  <si>
    <t>SI</t>
  </si>
  <si>
    <t>Estudios Técnicos</t>
  </si>
  <si>
    <t>Costo Avalúo Bodega</t>
  </si>
  <si>
    <t>Total</t>
  </si>
  <si>
    <t>Tasa impositiva Colombia</t>
  </si>
  <si>
    <t>Valor en libros  de la bodega</t>
  </si>
  <si>
    <t>millones</t>
  </si>
  <si>
    <t>Pagina 4</t>
  </si>
  <si>
    <t>Canon arrendamiento anual (10% VM)</t>
  </si>
  <si>
    <t>Pagina 4 Nota 9</t>
  </si>
  <si>
    <t>Valor de venta esperado</t>
  </si>
  <si>
    <t>Pagina 5</t>
  </si>
  <si>
    <t>Mantenimiento sobre activos</t>
  </si>
  <si>
    <t>de los ingresos</t>
  </si>
  <si>
    <t>Costo de materia prima</t>
  </si>
  <si>
    <t>la tonelada</t>
  </si>
  <si>
    <t>Crecimiento real materia prima</t>
  </si>
  <si>
    <t>Renovación (overhaul) AÑO 5</t>
  </si>
  <si>
    <t>del valor inicial de la adquisición</t>
  </si>
  <si>
    <t>Pagina 5 Nota 13</t>
  </si>
  <si>
    <t>Porcentaje de seguro</t>
  </si>
  <si>
    <t>sobre el valor inicial de los activos</t>
  </si>
  <si>
    <t>Pagina 6</t>
  </si>
  <si>
    <t>Gastos operacionales variables</t>
  </si>
  <si>
    <t>sobre los ingresos</t>
  </si>
  <si>
    <t>Comisiones</t>
  </si>
  <si>
    <t>CXC (días)</t>
  </si>
  <si>
    <t xml:space="preserve">Pagina 7 </t>
  </si>
  <si>
    <t>CXP (días)</t>
  </si>
  <si>
    <t>Precio de venta</t>
  </si>
  <si>
    <t>Crecimiento real anual</t>
  </si>
  <si>
    <t>Política de crédito sugerido por área comercial</t>
  </si>
  <si>
    <t>días en vez de 95</t>
  </si>
  <si>
    <t>Aumento esperado en ventas atado a la política sugerida</t>
  </si>
  <si>
    <t>%E</t>
  </si>
  <si>
    <t>porcentaje de equity</t>
  </si>
  <si>
    <t>%D</t>
  </si>
  <si>
    <t>porcentaje de deuda</t>
  </si>
  <si>
    <t>Cargo</t>
  </si>
  <si>
    <t>No</t>
  </si>
  <si>
    <t>Salario / Mes
(millones de COP)</t>
  </si>
  <si>
    <t>Salario anual (millones de COP)</t>
  </si>
  <si>
    <t>¿Es parte de la producción?</t>
  </si>
  <si>
    <t>Gerente del Proyecto</t>
  </si>
  <si>
    <t>NO</t>
  </si>
  <si>
    <t>Salario anual de nómina operativa</t>
  </si>
  <si>
    <t>Jefe de Producción</t>
  </si>
  <si>
    <t>Salario anual de nómina administrativa</t>
  </si>
  <si>
    <t>Secretaria</t>
  </si>
  <si>
    <t>Director Financiero</t>
  </si>
  <si>
    <t>Director de Gestión Humana</t>
  </si>
  <si>
    <t>Contador</t>
  </si>
  <si>
    <t>Ingeniero de mantenimiento</t>
  </si>
  <si>
    <t>Analista de Gestión Humana</t>
  </si>
  <si>
    <t>Auxiliares operativos</t>
  </si>
  <si>
    <t>Auxiliar administrativo</t>
  </si>
  <si>
    <t>Auxiliar contable</t>
  </si>
  <si>
    <t>Jefe de Salud y Seguridad en el trabajo</t>
  </si>
  <si>
    <t>Auxiliar Salud y Seguridad en el trabajo</t>
  </si>
  <si>
    <t>Asesores comerciales</t>
  </si>
  <si>
    <t>Personal de vigilancia</t>
  </si>
  <si>
    <t>Factor salarial</t>
  </si>
  <si>
    <r>
      <t xml:space="preserve">Nota: este factor salarial se usa para saber cuánto cobrarle al cliente por hora/mes de un profesional, como no estamos vendiendo tiempo de personas y estamos vendiendo toneladas de aluminio, </t>
    </r>
    <r>
      <rPr>
        <b/>
        <sz val="12"/>
        <color theme="1"/>
        <rFont val="Aptos Narrow"/>
        <family val="2"/>
        <scheme val="minor"/>
      </rPr>
      <t>este valor no aplica</t>
    </r>
  </si>
  <si>
    <t xml:space="preserve">Pagina 6_Nota 15 = Incremento salarial con base en la inflación al cierre del año inmediatamente anterior </t>
  </si>
  <si>
    <t>Mantenimiento de bodega</t>
  </si>
  <si>
    <t>Multa por quitar arrendadores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</si>
  <si>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</si>
  <si>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</si>
  <si>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</si>
  <si>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</si>
  <si>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</si>
  <si>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</si>
  <si>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</si>
  <si>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</si>
  <si>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</si>
  <si>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</si>
  <si>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Consecutivo</t>
  </si>
  <si>
    <t>Inflación</t>
  </si>
  <si>
    <t>Canón</t>
  </si>
  <si>
    <t>Flujo de caja</t>
  </si>
  <si>
    <t>Factor de descuento</t>
  </si>
  <si>
    <t>Flujo de caja descontado</t>
  </si>
  <si>
    <t>Valor presente</t>
  </si>
  <si>
    <t>Estudio de mercado</t>
  </si>
  <si>
    <t>millones (COP)</t>
  </si>
  <si>
    <t>Estudios técnicos</t>
  </si>
  <si>
    <t>Avalúo comercial</t>
  </si>
  <si>
    <t>Datos</t>
  </si>
  <si>
    <t>Fuente</t>
  </si>
  <si>
    <t>Banco de Bogotá</t>
  </si>
  <si>
    <t>DTF TA</t>
  </si>
  <si>
    <t>https://www.grupoaval.com/wps/portal/grupo-aval/aval/portal-financiero/indicadores/tasas-interes</t>
  </si>
  <si>
    <t>Plazo 10 años</t>
  </si>
  <si>
    <t>Tasa TA</t>
  </si>
  <si>
    <t>Tasa (DTF + 10.5% TA)</t>
  </si>
  <si>
    <t>Período trimestre anticipado</t>
  </si>
  <si>
    <t>Pago de interés trimestral</t>
  </si>
  <si>
    <t>Período trimestre vencido</t>
  </si>
  <si>
    <t>Amortización</t>
  </si>
  <si>
    <t>Nominal anual trimestre vencido</t>
  </si>
  <si>
    <t>1 año de gracia para pago de capital</t>
  </si>
  <si>
    <t>Efectivo anual</t>
  </si>
  <si>
    <t>Amortizaciones de capitales anuales (10% a partir del año 2 y 20% al vencimiento)</t>
  </si>
  <si>
    <t>Gastos iniciales (6% sobre el valor del crédito descontado del valor desembolsado)</t>
  </si>
  <si>
    <t>Banco BBVA</t>
  </si>
  <si>
    <t>IBR</t>
  </si>
  <si>
    <t>https://www.banrep.gov.co/es/glosario/indicador-bancario-referencia-ibr</t>
  </si>
  <si>
    <t>Tasa (IBR + 10.5% TV)</t>
  </si>
  <si>
    <t>Tasa TV (IBR + 10,5%)</t>
  </si>
  <si>
    <t>Pago de intereses trimestral</t>
  </si>
  <si>
    <t>Pago: cuota fija (2 años de gracia de pago de capital)</t>
  </si>
  <si>
    <t>Gastos iniciales (5.5% sobre el valor del crédito descontado del valor desembolsado)</t>
  </si>
  <si>
    <t>Emisión de bonos corporativos</t>
  </si>
  <si>
    <t>Tasa: IPC + 10.5 E.A.</t>
  </si>
  <si>
    <t>Pago intereses: semestral</t>
  </si>
  <si>
    <t>Pago de capital: al vencimiento (bullet)</t>
  </si>
  <si>
    <t>Gastos emisión y estructuración (25% sobre el valor de emisión)</t>
  </si>
  <si>
    <t>ESTRUCTURA DE CAPITAL BASE</t>
  </si>
  <si>
    <t>Concepto</t>
  </si>
  <si>
    <t>Valor</t>
  </si>
  <si>
    <t>Inversión Total</t>
  </si>
  <si>
    <t>% Deuda</t>
  </si>
  <si>
    <t>Valor Crédito</t>
  </si>
  <si>
    <t>Banco Bogotá</t>
  </si>
  <si>
    <t>BBVA</t>
  </si>
  <si>
    <t>Bonos</t>
  </si>
  <si>
    <t>Plazo (años)</t>
  </si>
  <si>
    <t>Tasa base</t>
  </si>
  <si>
    <t>DTF+10.5%</t>
  </si>
  <si>
    <t>IBR+10.5%</t>
  </si>
  <si>
    <t>IPC+10.5%</t>
  </si>
  <si>
    <t>EA equivalente</t>
  </si>
  <si>
    <t>X</t>
  </si>
  <si>
    <t>Pago intereses</t>
  </si>
  <si>
    <t>Trimestral</t>
  </si>
  <si>
    <t>Semestral</t>
  </si>
  <si>
    <t>Gracia capital</t>
  </si>
  <si>
    <t>1 año</t>
  </si>
  <si>
    <t>2 años</t>
  </si>
  <si>
    <t>No aplica</t>
  </si>
  <si>
    <t>Forma pago capital</t>
  </si>
  <si>
    <t>Cuota fija</t>
  </si>
  <si>
    <t>Bullet</t>
  </si>
  <si>
    <t>Gastos iniciales</t>
  </si>
  <si>
    <t>5,5%</t>
  </si>
  <si>
    <t>Desembolso neto</t>
  </si>
  <si>
    <t>Intereses totales</t>
  </si>
  <si>
    <t>Costo efectivo</t>
  </si>
  <si>
    <t>BANCO DE BOGOTA</t>
  </si>
  <si>
    <t>Período</t>
  </si>
  <si>
    <t>Fecha</t>
  </si>
  <si>
    <t>Saldo Inicial</t>
  </si>
  <si>
    <t>Interés</t>
  </si>
  <si>
    <t>Capital</t>
  </si>
  <si>
    <t>Cuota</t>
  </si>
  <si>
    <t>Saldo Final</t>
  </si>
  <si>
    <t>Proyección de Inflación Colombia a 10 Años (2026-2035)</t>
  </si>
  <si>
    <t>Párametro</t>
  </si>
  <si>
    <t>Tes TF</t>
  </si>
  <si>
    <t>https://www.grupoaval.com/wps/portal/grupo-aval/aval/portal-financiero/renta-fija/tes/curva-rentabilidad</t>
  </si>
  <si>
    <t>Tes UVR</t>
  </si>
  <si>
    <t xml:space="preserve">1. https://www.grupoaval.com/wps/portal/grupo-aval/aval/portal-financiero/renta-fija/tes/datos-historicos </t>
  </si>
  <si>
    <t>2. https://www.bvc.com.co/renta-fija-deuda-publica-segmento-publico/tuvt11170327?tab=resumen</t>
  </si>
  <si>
    <t>3. https://www.irc.gov.co/440</t>
  </si>
  <si>
    <t>Año</t>
  </si>
  <si>
    <t>Inflación proyectada</t>
  </si>
  <si>
    <t xml:space="preserve">Nota: para el año 2026 se trabaja con la inflación reportada en mayo del 2026, para los años 2028, 2030, 2032 y 2034 </t>
  </si>
  <si>
    <t>se hace una interpolación simple con respecto al año anterior y siguiente.</t>
  </si>
  <si>
    <t>Fuente:  https://www.irc.gov.co/440</t>
  </si>
  <si>
    <t>TABLA DE AMORTIZACIÓN - BANCO DE BOGOTÁ</t>
  </si>
  <si>
    <t>TABLA DE AMORTIZACIÓN - BANCO BBVA</t>
  </si>
  <si>
    <t>PARÁMETROS DEL PRÉSTAMO</t>
  </si>
  <si>
    <t>NOTAS:</t>
  </si>
  <si>
    <t>DTF (T.A.) - Vigente Jun 2026</t>
  </si>
  <si>
    <t>DTF vigente 8-14 Jun 2026: 9.36% T.A. (Fuente: Banco de la República)</t>
  </si>
  <si>
    <t>IBR (T.V.) - Vigente Jun 2026</t>
  </si>
  <si>
    <t xml:space="preserve">IBR vigente (~9.0% T.V.) </t>
  </si>
  <si>
    <t>Plazo</t>
  </si>
  <si>
    <t>10 años</t>
  </si>
  <si>
    <t>Spread Banco Bogotá (T.A.)</t>
  </si>
  <si>
    <t>Tasa Anticipada (TA) convertida a Vencida para cálculo de intereses</t>
  </si>
  <si>
    <t>Spread Banco BBVA (T.V.)</t>
  </si>
  <si>
    <t>Spread 10.5% Tasa Vencida</t>
  </si>
  <si>
    <t>Tasa</t>
  </si>
  <si>
    <t>IPC + 10,5% E.A.</t>
  </si>
  <si>
    <t>Tasa Total (T.A.)</t>
  </si>
  <si>
    <t>Año 1: Período de gracia para capital (solo se pagan intereses)</t>
  </si>
  <si>
    <t>Tasa Total (T.V.)</t>
  </si>
  <si>
    <t>IBR + Spread = Tasa nominal anual vencida</t>
  </si>
  <si>
    <t>Spread</t>
  </si>
  <si>
    <t>Tasa Trimestral Anticipada</t>
  </si>
  <si>
    <t>Años 2-9: Amortización 10% anual del capital (2.5% trimestral)</t>
  </si>
  <si>
    <t>n1</t>
  </si>
  <si>
    <t>IPC</t>
  </si>
  <si>
    <t>Tasa Trimestral Vencido</t>
  </si>
  <si>
    <t>Año 10: Amortización 20% anual del capital (5% trimestral)</t>
  </si>
  <si>
    <t>n2</t>
  </si>
  <si>
    <t>Tasa Efectiva Anual</t>
  </si>
  <si>
    <t>Nominal Anual Trimestre Vencido</t>
  </si>
  <si>
    <t>https://suameca.banrep.gov.co/indicadores-economicos-del-dia/</t>
  </si>
  <si>
    <t>Tasa Trimestral Efectiva</t>
  </si>
  <si>
    <t>Tasa trimestral para cálculo de intereses</t>
  </si>
  <si>
    <t>Tasa Efectivo Semestral</t>
  </si>
  <si>
    <t>Efectivo Anual</t>
  </si>
  <si>
    <t>TEA calculada</t>
  </si>
  <si>
    <t>Monto del Crédito (asumido)</t>
  </si>
  <si>
    <t>10 años plazo total</t>
  </si>
  <si>
    <t>Gastos (porcentaje)</t>
  </si>
  <si>
    <t>Monto del Crédito</t>
  </si>
  <si>
    <t>Vinculado al monto de bogota</t>
  </si>
  <si>
    <t>Gastos</t>
  </si>
  <si>
    <t>Gastos Iniciales (%)</t>
  </si>
  <si>
    <t>5.5% sobre el valor del crédito</t>
  </si>
  <si>
    <t>Intereses</t>
  </si>
  <si>
    <t>RESUMEN ANUAL</t>
  </si>
  <si>
    <t>Valor Gastos Iniciales</t>
  </si>
  <si>
    <t>Descontado del desembolso</t>
  </si>
  <si>
    <t>Monto Neto Desembolsado</t>
  </si>
  <si>
    <t>Cupones</t>
  </si>
  <si>
    <t>Amort. Principal</t>
  </si>
  <si>
    <t>Pago Total</t>
  </si>
  <si>
    <t>Kd_DI</t>
  </si>
  <si>
    <t>Período de Gracia (años)</t>
  </si>
  <si>
    <t>Solo pago de intereses años 1-2</t>
  </si>
  <si>
    <t>TABLA DE AMORTIZACIÓN TRIMESTRAL</t>
  </si>
  <si>
    <t>Cuota Fija Trimestral (Años 3-10)</t>
  </si>
  <si>
    <t>Cuota fija para años 3-10 (32 trimestres)</t>
  </si>
  <si>
    <t>Trimestre</t>
  </si>
  <si>
    <t>Interés Trimestral</t>
  </si>
  <si>
    <t>Amort. Capital</t>
  </si>
  <si>
    <t>Semestre</t>
  </si>
  <si>
    <t>Cupón (Interés)</t>
  </si>
  <si>
    <t>Flujo Total</t>
  </si>
  <si>
    <t>TOTAL</t>
  </si>
  <si>
    <t>ESQUEMA DE AMORTIZACIÓN DE CAPITAL</t>
  </si>
  <si>
    <t>% Capital</t>
  </si>
  <si>
    <t>Monto Amort.</t>
  </si>
  <si>
    <t>Descripción</t>
  </si>
  <si>
    <t>Período de gracia</t>
  </si>
  <si>
    <t>Amortización regular</t>
  </si>
  <si>
    <t>TOTALES</t>
  </si>
  <si>
    <t>Capital (Valor Nominal)</t>
  </si>
  <si>
    <t>Pago al vencimiento</t>
  </si>
  <si>
    <t>Total Intereses (Cupones)</t>
  </si>
  <si>
    <t>Gastos de Emisión</t>
  </si>
  <si>
    <t>COSTO TOTAL DE LA EMISIÓN</t>
  </si>
  <si>
    <t>RESUMEN DEL CRÉDITO</t>
  </si>
  <si>
    <t>Total Intereses Pagados</t>
  </si>
  <si>
    <t>Total Capital Amortizado</t>
  </si>
  <si>
    <t>Total Pagado (Capital + Intereses)</t>
  </si>
  <si>
    <t>Costo Total del Crédito (Intereses + Gastos)</t>
  </si>
  <si>
    <t>Tasa libre de riesgo (Rf)</t>
  </si>
  <si>
    <t>https://www.bloomberg.com/markets/rates-bonds/government-bonds/us</t>
  </si>
  <si>
    <t>Retorno esperado del mercado</t>
  </si>
  <si>
    <t>Equity Risk Premium</t>
  </si>
  <si>
    <t>Beta de la empresa apalancado (βL)</t>
  </si>
  <si>
    <t>Metales y minería</t>
  </si>
  <si>
    <t>D/E sector</t>
  </si>
  <si>
    <t>Beta de la empresa desapalancado (βU)</t>
  </si>
  <si>
    <t>Calculado</t>
  </si>
  <si>
    <t>Beta del sector desapalancado (βU)</t>
  </si>
  <si>
    <t>Damodaran, Metales y minería</t>
  </si>
  <si>
    <t xml:space="preserve">D/E ratio </t>
  </si>
  <si>
    <t>(10%D / 90%E)</t>
  </si>
  <si>
    <t>Beta reapalancado a la estructura del proyecto (βLproyecto)</t>
  </si>
  <si>
    <t>Bono Yankee_TES Globales de Colombia en USD a 10 años</t>
  </si>
  <si>
    <t>https://www.grupoaval.com/wps/portal/grupo-aval/aval/portal-financiero/renta-fija/yankees</t>
  </si>
  <si>
    <t>Riesgo país (Rp)</t>
  </si>
  <si>
    <t>TES de Colombia en COP a 10 años</t>
  </si>
  <si>
    <t>Devaluación esperada</t>
  </si>
  <si>
    <t>Ke_USD</t>
  </si>
  <si>
    <t>Ke_COP</t>
  </si>
  <si>
    <t>WACC</t>
  </si>
  <si>
    <t>Detalle</t>
  </si>
  <si>
    <t>Posible renovación total</t>
  </si>
  <si>
    <t>Página 5, nota 13</t>
  </si>
  <si>
    <t>Sobre el activo fijo "maquina"</t>
  </si>
  <si>
    <t>Genera nueva depreciacion desde el año 5</t>
  </si>
  <si>
    <t>Seguro en primeros 5 años</t>
  </si>
  <si>
    <t>Seguro en segundos 5 años</t>
  </si>
  <si>
    <t>Año 0</t>
  </si>
  <si>
    <t>Tasa de impuestos</t>
  </si>
  <si>
    <t>Precio</t>
  </si>
  <si>
    <t>Costo</t>
  </si>
  <si>
    <t>Cantidades</t>
  </si>
  <si>
    <t xml:space="preserve">ESTADO DE RESULTADOS </t>
  </si>
  <si>
    <t>Año 11</t>
  </si>
  <si>
    <t>Ingresos operacionales</t>
  </si>
  <si>
    <t>Costo de ventas</t>
  </si>
  <si>
    <t>Costo de nómina asociada a la operación</t>
  </si>
  <si>
    <t>Costo de mantenimiento</t>
  </si>
  <si>
    <t>Utilidad bruta</t>
  </si>
  <si>
    <t>Costos de nómina administrativos</t>
  </si>
  <si>
    <t>Gastos operacionales (variable)</t>
  </si>
  <si>
    <t>Depreciación</t>
  </si>
  <si>
    <t>EBIT</t>
  </si>
  <si>
    <t>Gastos financieros (intereses)</t>
  </si>
  <si>
    <t>EBT</t>
  </si>
  <si>
    <t>Provisión de impuestos</t>
  </si>
  <si>
    <t>Utilidad neta</t>
  </si>
  <si>
    <t>EBITDA</t>
  </si>
  <si>
    <t>CXC</t>
  </si>
  <si>
    <t>KTO</t>
  </si>
  <si>
    <t>CXP</t>
  </si>
  <si>
    <t>Impuestos por pagar</t>
  </si>
  <si>
    <t>KTNO</t>
  </si>
  <si>
    <t>Proyección venta de activos</t>
  </si>
  <si>
    <t>Δ KTNO</t>
  </si>
  <si>
    <t>Costo de desmantelamiento</t>
  </si>
  <si>
    <t>Tasa de impuesto por ganancia ocasional</t>
  </si>
  <si>
    <t>PPE (Propiedades, Planta y Equipo) Bruta</t>
  </si>
  <si>
    <t>Depreciación acumulada</t>
  </si>
  <si>
    <t>Valor en venta esperado</t>
  </si>
  <si>
    <t>PPE Neta</t>
  </si>
  <si>
    <t>Valor en libros</t>
  </si>
  <si>
    <t xml:space="preserve">Capital Invertido en la operación </t>
  </si>
  <si>
    <t>Impuesto por ganancia ocasional</t>
  </si>
  <si>
    <t>Flujo de caja por venta del activo</t>
  </si>
  <si>
    <t xml:space="preserve">FLUJO DE CAJA </t>
  </si>
  <si>
    <t>Disposición final</t>
  </si>
  <si>
    <t>Valor de salvamento</t>
  </si>
  <si>
    <t>(-) Impuestos operativos</t>
  </si>
  <si>
    <t>NOPAT</t>
  </si>
  <si>
    <t>Depreciaciones</t>
  </si>
  <si>
    <t>Amortizaciones</t>
  </si>
  <si>
    <t>Flujo de caja bruto</t>
  </si>
  <si>
    <t>(-) ΔKTNO</t>
  </si>
  <si>
    <t>Flujo de caja operativo</t>
  </si>
  <si>
    <t>(-) CAPEX</t>
  </si>
  <si>
    <t>FCL (Unlevered cash flow)</t>
  </si>
  <si>
    <t>VPN del Proyecto</t>
  </si>
  <si>
    <t>TIR Modificada</t>
  </si>
  <si>
    <t xml:space="preserve">PAYBACK Ajustado </t>
  </si>
  <si>
    <t>FD</t>
  </si>
  <si>
    <t>FCL Descontado</t>
  </si>
  <si>
    <t>Profitability Index</t>
  </si>
  <si>
    <t>ROIC</t>
  </si>
  <si>
    <t>Margen bruto</t>
  </si>
  <si>
    <t>Margen EBIT</t>
  </si>
  <si>
    <t>Margen EBITDA</t>
  </si>
  <si>
    <t>Margen KTNO (Productividad del capital de trabajo)</t>
  </si>
  <si>
    <t>Palanca de crecimiento</t>
  </si>
  <si>
    <t>EVA</t>
  </si>
  <si>
    <t>Razón de cobertura de intereses (EBIT / gastos financieros)</t>
  </si>
  <si>
    <t>Servicio a la deuda</t>
  </si>
  <si>
    <t>Debt Service Coverage Ratio (FCL / Servicio a la deuda)</t>
  </si>
  <si>
    <t>Deuda</t>
  </si>
  <si>
    <t>Apalancamiento financiero (Deuda / EBITDA)</t>
  </si>
  <si>
    <t>CAGR</t>
  </si>
  <si>
    <t>Flujo de Caja Libre</t>
  </si>
  <si>
    <t>Margen KTNO_PKT</t>
  </si>
  <si>
    <t>Nota: El precio debe subir al menos</t>
  </si>
  <si>
    <t>Gastos por seguro</t>
  </si>
  <si>
    <t>FCL descontado</t>
  </si>
  <si>
    <t>Política de dividendos</t>
  </si>
  <si>
    <t>Δ Deuda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</si>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</sst>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\$\ #,##0.0"/>
    <numFmt numFmtId="165" formatCode="0.0%"/>
    <numFmt numFmtId="166" formatCode="&quot;$&quot;#,##0"/>
    <numFmt numFmtId="167" formatCode="_-* #,##0_-;\-* #,##0_-;_-* &quot;-&quot;??_-;_-@_-"/>
    <numFmt numFmtId="168" formatCode="0.000%"/>
    <numFmt numFmtId="169" formatCode="0.0\x"/>
    <numFmt numFmtId="170" formatCode="_-&quot;$&quot;* #,##0_-;\-&quot;$&quot;* #,##0_-;_-&quot;$&quot;* &quot;-&quot;??_-;_-@_-"/>
    <numFmt numFmtId="171" formatCode="0.0"/>
    <numFmt numFmtId="172" formatCode="_-* #,##0.00_-;\-* #,##0.00_-;_-* &quot;-&quot;_-;_-@_-"/>
  </numFmts>
  <fonts count="2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00000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name val="Arial"/>
      <family val="2"/>
    </font>
    <font>
      <u/>
      <sz val="11"/>
      <color theme="10"/>
      <name val="Calibri"/>
      <family val="2"/>
      <charset val="1"/>
    </font>
    <font>
      <u/>
      <sz val="12"/>
      <color theme="1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 Nova Cond"/>
      <family val="2"/>
    </font>
    <font>
      <sz val="10"/>
      <color theme="1"/>
      <name val="Arial Nova Cond"/>
      <family val="2"/>
    </font>
    <font>
      <sz val="10"/>
      <color rgb="FFFF0000"/>
      <name val="Arial Nova Cond"/>
      <family val="2"/>
    </font>
    <font>
      <sz val="12"/>
      <color theme="1"/>
      <name val="Aptos Narrow"/>
      <scheme val="minor"/>
    </font>
    <font>
      <b/>
      <sz val="10"/>
      <color theme="1"/>
      <name val="Arial Nova Cond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EEF2F7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2CE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16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9" fontId="0" fillId="0" borderId="0" xfId="2" applyFont="1"/>
    <xf numFmtId="165" fontId="0" fillId="0" borderId="0" xfId="2" applyNumberFormat="1" applyFont="1"/>
    <xf numFmtId="10" fontId="0" fillId="0" borderId="0" xfId="2" applyNumberFormat="1" applyFont="1"/>
    <xf numFmtId="0" fontId="6" fillId="4" borderId="2" xfId="0" applyFont="1" applyFill="1" applyBorder="1" applyAlignment="1">
      <alignment horizontal="left" vertical="center"/>
    </xf>
    <xf numFmtId="42" fontId="0" fillId="0" borderId="0" xfId="1" applyFont="1"/>
    <xf numFmtId="166" fontId="0" fillId="0" borderId="0" xfId="0" applyNumberFormat="1"/>
    <xf numFmtId="0" fontId="4" fillId="2" borderId="3" xfId="0" applyFont="1" applyFill="1" applyBorder="1" applyAlignment="1">
      <alignment horizontal="center" vertical="center" wrapText="1"/>
    </xf>
    <xf numFmtId="42" fontId="5" fillId="3" borderId="1" xfId="1" applyFont="1" applyFill="1" applyBorder="1" applyAlignment="1">
      <alignment horizontal="right" vertical="center"/>
    </xf>
    <xf numFmtId="42" fontId="5" fillId="0" borderId="1" xfId="1" applyFont="1" applyBorder="1" applyAlignment="1">
      <alignment horizontal="right" vertical="center"/>
    </xf>
    <xf numFmtId="42" fontId="6" fillId="4" borderId="2" xfId="1" applyFont="1" applyFill="1" applyBorder="1" applyAlignment="1">
      <alignment horizontal="right" vertical="center"/>
    </xf>
    <xf numFmtId="166" fontId="0" fillId="0" borderId="0" xfId="2" applyNumberFormat="1" applyFont="1"/>
    <xf numFmtId="42" fontId="0" fillId="0" borderId="0" xfId="0" applyNumberFormat="1"/>
    <xf numFmtId="0" fontId="7" fillId="0" borderId="0" xfId="0" applyFont="1"/>
    <xf numFmtId="0" fontId="4" fillId="2" borderId="0" xfId="0" applyFont="1" applyFill="1" applyAlignment="1">
      <alignment horizontal="center" vertical="center" wrapText="1"/>
    </xf>
    <xf numFmtId="42" fontId="6" fillId="4" borderId="0" xfId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9" fontId="5" fillId="3" borderId="0" xfId="2" applyFont="1" applyFill="1" applyBorder="1" applyAlignment="1">
      <alignment horizontal="right" vertical="center"/>
    </xf>
    <xf numFmtId="9" fontId="5" fillId="0" borderId="0" xfId="2" applyFont="1" applyBorder="1" applyAlignment="1">
      <alignment horizontal="right" vertical="center"/>
    </xf>
    <xf numFmtId="1" fontId="5" fillId="3" borderId="0" xfId="1" applyNumberFormat="1" applyFont="1" applyFill="1" applyBorder="1" applyAlignment="1">
      <alignment horizontal="right" vertical="center"/>
    </xf>
    <xf numFmtId="1" fontId="5" fillId="0" borderId="0" xfId="1" applyNumberFormat="1" applyFont="1" applyBorder="1" applyAlignment="1">
      <alignment horizontal="right" vertical="center"/>
    </xf>
    <xf numFmtId="0" fontId="3" fillId="0" borderId="0" xfId="0" applyFont="1"/>
    <xf numFmtId="0" fontId="6" fillId="6" borderId="1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9" fontId="0" fillId="0" borderId="0" xfId="0" applyNumberFormat="1"/>
    <xf numFmtId="0" fontId="8" fillId="0" borderId="0" xfId="3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5" fontId="5" fillId="3" borderId="0" xfId="2" applyNumberFormat="1" applyFont="1" applyFill="1" applyBorder="1" applyAlignment="1">
      <alignment horizontal="right" vertical="center"/>
    </xf>
    <xf numFmtId="10" fontId="0" fillId="0" borderId="0" xfId="0" applyNumberFormat="1"/>
    <xf numFmtId="167" fontId="0" fillId="0" borderId="0" xfId="6" applyNumberFormat="1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43" fontId="0" fillId="0" borderId="11" xfId="6" applyFont="1" applyBorder="1"/>
    <xf numFmtId="9" fontId="0" fillId="0" borderId="11" xfId="0" applyNumberFormat="1" applyBorder="1"/>
    <xf numFmtId="0" fontId="0" fillId="0" borderId="12" xfId="0" applyBorder="1"/>
    <xf numFmtId="43" fontId="0" fillId="0" borderId="13" xfId="6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/>
    <xf numFmtId="0" fontId="0" fillId="0" borderId="17" xfId="0" applyBorder="1"/>
    <xf numFmtId="0" fontId="0" fillId="0" borderId="13" xfId="0" applyBorder="1"/>
    <xf numFmtId="14" fontId="0" fillId="0" borderId="0" xfId="0" applyNumberFormat="1"/>
    <xf numFmtId="43" fontId="0" fillId="0" borderId="0" xfId="6" applyFont="1"/>
    <xf numFmtId="168" fontId="0" fillId="0" borderId="0" xfId="0" applyNumberFormat="1"/>
    <xf numFmtId="168" fontId="0" fillId="0" borderId="0" xfId="2" applyNumberFormat="1" applyFont="1"/>
    <xf numFmtId="0" fontId="11" fillId="0" borderId="0" xfId="5"/>
    <xf numFmtId="2" fontId="0" fillId="0" borderId="0" xfId="0" applyNumberFormat="1"/>
    <xf numFmtId="10" fontId="11" fillId="0" borderId="0" xfId="5" applyNumberFormat="1"/>
    <xf numFmtId="0" fontId="14" fillId="0" borderId="0" xfId="0" applyFont="1"/>
    <xf numFmtId="0" fontId="15" fillId="0" borderId="0" xfId="0" applyFont="1"/>
    <xf numFmtId="0" fontId="16" fillId="0" borderId="0" xfId="0" applyFont="1"/>
    <xf numFmtId="3" fontId="0" fillId="0" borderId="0" xfId="0" applyNumberFormat="1"/>
    <xf numFmtId="0" fontId="17" fillId="8" borderId="6" xfId="0" applyFont="1" applyFill="1" applyBorder="1"/>
    <xf numFmtId="0" fontId="0" fillId="0" borderId="6" xfId="0" applyBorder="1"/>
    <xf numFmtId="3" fontId="0" fillId="0" borderId="6" xfId="0" applyNumberFormat="1" applyBorder="1"/>
    <xf numFmtId="0" fontId="15" fillId="9" borderId="6" xfId="0" applyFont="1" applyFill="1" applyBorder="1"/>
    <xf numFmtId="3" fontId="15" fillId="9" borderId="6" xfId="0" applyNumberFormat="1" applyFont="1" applyFill="1" applyBorder="1"/>
    <xf numFmtId="0" fontId="17" fillId="8" borderId="0" xfId="0" applyFont="1" applyFill="1"/>
    <xf numFmtId="0" fontId="15" fillId="9" borderId="0" xfId="0" applyFont="1" applyFill="1"/>
    <xf numFmtId="9" fontId="15" fillId="9" borderId="0" xfId="0" applyNumberFormat="1" applyFont="1" applyFill="1"/>
    <xf numFmtId="3" fontId="15" fillId="9" borderId="0" xfId="0" applyNumberFormat="1" applyFont="1" applyFill="1"/>
    <xf numFmtId="0" fontId="0" fillId="10" borderId="0" xfId="0" applyFill="1"/>
    <xf numFmtId="0" fontId="15" fillId="12" borderId="17" xfId="0" applyFont="1" applyFill="1" applyBorder="1"/>
    <xf numFmtId="0" fontId="15" fillId="12" borderId="0" xfId="0" applyFont="1" applyFill="1"/>
    <xf numFmtId="0" fontId="0" fillId="13" borderId="0" xfId="0" applyFill="1"/>
    <xf numFmtId="3" fontId="0" fillId="13" borderId="0" xfId="0" applyNumberFormat="1" applyFill="1"/>
    <xf numFmtId="0" fontId="15" fillId="0" borderId="18" xfId="0" applyFont="1" applyBorder="1"/>
    <xf numFmtId="3" fontId="15" fillId="0" borderId="18" xfId="0" applyNumberFormat="1" applyFont="1" applyBorder="1"/>
    <xf numFmtId="0" fontId="15" fillId="0" borderId="19" xfId="0" applyFont="1" applyBorder="1"/>
    <xf numFmtId="0" fontId="0" fillId="0" borderId="19" xfId="0" applyBorder="1"/>
    <xf numFmtId="3" fontId="15" fillId="0" borderId="19" xfId="0" applyNumberFormat="1" applyFont="1" applyBorder="1"/>
    <xf numFmtId="165" fontId="0" fillId="0" borderId="0" xfId="0" applyNumberFormat="1"/>
    <xf numFmtId="3" fontId="17" fillId="8" borderId="0" xfId="0" applyNumberFormat="1" applyFont="1" applyFill="1"/>
    <xf numFmtId="3" fontId="18" fillId="8" borderId="0" xfId="0" applyNumberFormat="1" applyFont="1" applyFill="1"/>
    <xf numFmtId="0" fontId="18" fillId="8" borderId="0" xfId="0" applyFont="1" applyFill="1"/>
    <xf numFmtId="0" fontId="15" fillId="14" borderId="0" xfId="0" applyFont="1" applyFill="1"/>
    <xf numFmtId="3" fontId="0" fillId="14" borderId="0" xfId="0" applyNumberFormat="1" applyFill="1"/>
    <xf numFmtId="42" fontId="5" fillId="3" borderId="1" xfId="0" applyNumberFormat="1" applyFont="1" applyFill="1" applyBorder="1" applyAlignment="1">
      <alignment horizontal="left" vertical="center"/>
    </xf>
    <xf numFmtId="42" fontId="5" fillId="0" borderId="1" xfId="0" applyNumberFormat="1" applyFont="1" applyBorder="1" applyAlignment="1">
      <alignment horizontal="left" vertical="center"/>
    </xf>
    <xf numFmtId="1" fontId="0" fillId="0" borderId="0" xfId="2" applyNumberFormat="1" applyFont="1"/>
    <xf numFmtId="9" fontId="5" fillId="0" borderId="0" xfId="2" applyFont="1" applyAlignment="1">
      <alignment horizontal="right" vertical="center"/>
    </xf>
    <xf numFmtId="10" fontId="0" fillId="0" borderId="0" xfId="2" applyNumberFormat="1" applyFont="1" applyFill="1"/>
    <xf numFmtId="44" fontId="0" fillId="0" borderId="0" xfId="0" applyNumberFormat="1"/>
    <xf numFmtId="0" fontId="9" fillId="0" borderId="0" xfId="3" applyFont="1"/>
    <xf numFmtId="0" fontId="15" fillId="0" borderId="0" xfId="7" applyFont="1" applyAlignment="1">
      <alignment horizontal="center"/>
    </xf>
    <xf numFmtId="0" fontId="1" fillId="0" borderId="0" xfId="7"/>
    <xf numFmtId="14" fontId="1" fillId="0" borderId="0" xfId="7" applyNumberFormat="1"/>
    <xf numFmtId="0" fontId="15" fillId="0" borderId="6" xfId="7" applyFont="1" applyBorder="1" applyAlignment="1">
      <alignment horizontal="center"/>
    </xf>
    <xf numFmtId="10" fontId="19" fillId="0" borderId="6" xfId="7" applyNumberFormat="1" applyFont="1" applyBorder="1" applyAlignment="1">
      <alignment horizontal="center" vertical="center" wrapText="1"/>
    </xf>
    <xf numFmtId="10" fontId="1" fillId="0" borderId="6" xfId="7" applyNumberFormat="1" applyBorder="1" applyAlignment="1">
      <alignment horizontal="center"/>
    </xf>
    <xf numFmtId="0" fontId="15" fillId="0" borderId="0" xfId="7" applyFont="1" applyAlignment="1">
      <alignment horizontal="left"/>
    </xf>
    <xf numFmtId="10" fontId="1" fillId="0" borderId="0" xfId="2" applyNumberFormat="1" applyFont="1"/>
    <xf numFmtId="0" fontId="20" fillId="0" borderId="0" xfId="0" applyFont="1"/>
    <xf numFmtId="0" fontId="21" fillId="0" borderId="0" xfId="0" applyFont="1"/>
    <xf numFmtId="10" fontId="22" fillId="0" borderId="18" xfId="2" applyNumberFormat="1" applyFont="1" applyFill="1" applyBorder="1"/>
    <xf numFmtId="9" fontId="21" fillId="0" borderId="0" xfId="2" applyFont="1"/>
    <xf numFmtId="9" fontId="22" fillId="0" borderId="20" xfId="2" applyFont="1" applyBorder="1"/>
    <xf numFmtId="41" fontId="21" fillId="0" borderId="0" xfId="1" applyNumberFormat="1" applyFont="1"/>
    <xf numFmtId="171" fontId="21" fillId="0" borderId="20" xfId="1" applyNumberFormat="1" applyFont="1" applyBorder="1"/>
    <xf numFmtId="42" fontId="21" fillId="0" borderId="0" xfId="1" applyFont="1"/>
    <xf numFmtId="42" fontId="21" fillId="0" borderId="0" xfId="0" applyNumberFormat="1" applyFont="1"/>
    <xf numFmtId="10" fontId="21" fillId="0" borderId="0" xfId="2" applyNumberFormat="1" applyFont="1"/>
    <xf numFmtId="170" fontId="21" fillId="0" borderId="0" xfId="0" applyNumberFormat="1" applyFont="1"/>
    <xf numFmtId="169" fontId="21" fillId="0" borderId="0" xfId="0" applyNumberFormat="1" applyFont="1"/>
    <xf numFmtId="44" fontId="21" fillId="0" borderId="0" xfId="0" applyNumberFormat="1" applyFont="1"/>
    <xf numFmtId="41" fontId="20" fillId="0" borderId="0" xfId="1" applyNumberFormat="1" applyFont="1"/>
    <xf numFmtId="170" fontId="20" fillId="0" borderId="0" xfId="0" applyNumberFormat="1" applyFont="1"/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1" fillId="0" borderId="20" xfId="0" applyFont="1" applyBorder="1" applyAlignment="1">
      <alignment horizontal="left" vertical="center" wrapText="1"/>
    </xf>
    <xf numFmtId="9" fontId="21" fillId="0" borderId="20" xfId="2" applyFont="1" applyBorder="1"/>
    <xf numFmtId="0" fontId="21" fillId="0" borderId="18" xfId="0" applyFont="1" applyBorder="1" applyAlignment="1">
      <alignment horizontal="left" vertical="center" wrapText="1"/>
    </xf>
    <xf numFmtId="10" fontId="21" fillId="0" borderId="18" xfId="2" applyNumberFormat="1" applyFont="1" applyFill="1" applyBorder="1"/>
    <xf numFmtId="171" fontId="21" fillId="0" borderId="0" xfId="1" applyNumberFormat="1" applyFont="1" applyBorder="1"/>
    <xf numFmtId="0" fontId="20" fillId="0" borderId="20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0" xfId="0" applyFont="1" applyBorder="1"/>
    <xf numFmtId="0" fontId="21" fillId="15" borderId="0" xfId="0" applyFont="1" applyFill="1" applyAlignment="1">
      <alignment horizontal="left" vertical="center" wrapText="1"/>
    </xf>
    <xf numFmtId="0" fontId="22" fillId="0" borderId="0" xfId="0" applyFont="1"/>
    <xf numFmtId="0" fontId="22" fillId="0" borderId="20" xfId="0" applyFont="1" applyBorder="1"/>
    <xf numFmtId="41" fontId="21" fillId="0" borderId="0" xfId="0" applyNumberFormat="1" applyFont="1"/>
    <xf numFmtId="41" fontId="20" fillId="0" borderId="0" xfId="0" applyNumberFormat="1" applyFont="1"/>
    <xf numFmtId="2" fontId="21" fillId="0" borderId="0" xfId="1" applyNumberFormat="1" applyFont="1"/>
    <xf numFmtId="0" fontId="20" fillId="0" borderId="21" xfId="0" applyFont="1" applyBorder="1" applyAlignment="1">
      <alignment horizontal="left" vertical="center" wrapText="1"/>
    </xf>
    <xf numFmtId="41" fontId="20" fillId="0" borderId="22" xfId="1" applyNumberFormat="1" applyFont="1" applyBorder="1"/>
    <xf numFmtId="0" fontId="20" fillId="0" borderId="23" xfId="0" applyFont="1" applyBorder="1" applyAlignment="1">
      <alignment horizontal="left" vertical="center" wrapText="1"/>
    </xf>
    <xf numFmtId="10" fontId="20" fillId="0" borderId="24" xfId="1" applyNumberFormat="1" applyFont="1" applyBorder="1"/>
    <xf numFmtId="41" fontId="20" fillId="0" borderId="24" xfId="1" applyNumberFormat="1" applyFont="1" applyBorder="1"/>
    <xf numFmtId="0" fontId="21" fillId="0" borderId="23" xfId="0" applyFont="1" applyBorder="1" applyAlignment="1">
      <alignment horizontal="left" vertical="center" wrapText="1"/>
    </xf>
    <xf numFmtId="41" fontId="21" fillId="0" borderId="24" xfId="1" applyNumberFormat="1" applyFont="1" applyBorder="1"/>
    <xf numFmtId="0" fontId="20" fillId="0" borderId="25" xfId="0" applyFont="1" applyBorder="1" applyAlignment="1">
      <alignment horizontal="left" vertical="center" wrapText="1"/>
    </xf>
    <xf numFmtId="172" fontId="20" fillId="0" borderId="26" xfId="1" applyNumberFormat="1" applyFont="1" applyBorder="1"/>
    <xf numFmtId="41" fontId="21" fillId="5" borderId="0" xfId="1" applyNumberFormat="1" applyFont="1" applyFill="1"/>
    <xf numFmtId="165" fontId="21" fillId="0" borderId="0" xfId="2" applyNumberFormat="1" applyFont="1"/>
    <xf numFmtId="41" fontId="0" fillId="0" borderId="0" xfId="0" applyNumberFormat="1"/>
    <xf numFmtId="42" fontId="0" fillId="5" borderId="0" xfId="1" applyFont="1" applyFill="1"/>
    <xf numFmtId="1" fontId="0" fillId="0" borderId="0" xfId="0" applyNumberFormat="1"/>
    <xf numFmtId="42" fontId="23" fillId="0" borderId="0" xfId="0" applyNumberFormat="1" applyFont="1"/>
    <xf numFmtId="172" fontId="20" fillId="0" borderId="24" xfId="1" applyNumberFormat="1" applyFont="1" applyBorder="1"/>
    <xf numFmtId="0" fontId="24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7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7" fillId="11" borderId="0" xfId="0" applyFont="1" applyFill="1"/>
    <xf numFmtId="0" fontId="17" fillId="11" borderId="0" xfId="0" applyFont="1" applyFill="1" applyAlignment="1">
      <alignment horizontal="center"/>
    </xf>
    <xf numFmtId="0" fontId="17" fillId="8" borderId="0" xfId="0" applyFont="1" applyFill="1"/>
    <xf numFmtId="0" fontId="0" fillId="0" borderId="0" xfId="0"/>
  </cellXfs>
  <cellStyles count="8">
    <cellStyle name="Comma" xfId="6" builtinId="3"/>
    <cellStyle name="Currency [0]" xfId="1" builtinId="7"/>
    <cellStyle name="Hipervínculo 2" xfId="4" xr:uid="{65A2168F-9865-482A-A5D0-89CC7EF8D6B9}"/>
    <cellStyle name="Hyperlink" xfId="5" builtinId="8"/>
    <cellStyle name="Normal" xfId="0" builtinId="0"/>
    <cellStyle name="Normal 2" xfId="3" xr:uid="{5F764FE4-05BF-42AD-B45F-C0F9C4A19278}"/>
    <cellStyle name="Normal 3" xfId="7" xr:uid="{8CBA8765-4879-45E0-BDA6-5E18BF37BF1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none"/>
              <a:t>EVA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EVA</c:v>
          </c:tx>
          <c:spPr>
            <a:ln w="12700" cap="rnd">
              <a:gradFill flip="none" rotWithShape="1">
                <a:gsLst>
                  <a:gs pos="50000">
                    <a:schemeClr val="accent1">
                      <a:lumMod val="89000"/>
                      <a:alpha val="92000"/>
                    </a:schemeClr>
                  </a:gs>
                  <a:gs pos="23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numFmt formatCode="#,##0,,;\(#,##0,,\);&quot;-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resultados'!$D$57:$N$57</c:f>
              <c:strCache>
                <c:ptCount val="11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  <c:pt idx="10">
                  <c:v>Año 11</c:v>
                </c:pt>
              </c:strCache>
            </c:strRef>
          </c:cat>
          <c:val>
            <c:numRef>
              <c:f>'Estado de resultados'!$D$86:$M$86</c:f>
              <c:numCache>
                <c:formatCode>_("$"* #,##0.00_);_("$"* \(#,##0.00\);_("$"* "-"??_);_(@_)</c:formatCode>
                <c:ptCount val="10"/>
                <c:pt idx="0">
                  <c:v>-1793478653.7849333</c:v>
                </c:pt>
                <c:pt idx="1">
                  <c:v>6862201586.9203444</c:v>
                </c:pt>
                <c:pt idx="2">
                  <c:v>8683790747.3030453</c:v>
                </c:pt>
                <c:pt idx="3">
                  <c:v>10720217143.950525</c:v>
                </c:pt>
                <c:pt idx="4">
                  <c:v>12998272906.196072</c:v>
                </c:pt>
                <c:pt idx="5">
                  <c:v>15543929387.198647</c:v>
                </c:pt>
                <c:pt idx="6">
                  <c:v>18357655711.156792</c:v>
                </c:pt>
                <c:pt idx="7">
                  <c:v>21520522347.328396</c:v>
                </c:pt>
                <c:pt idx="8">
                  <c:v>25100818510.761791</c:v>
                </c:pt>
                <c:pt idx="9">
                  <c:v>29132766304.14537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C8-4540-BE71-2C91A9EC15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3123520"/>
        <c:axId val="573118592"/>
      </c:lineChart>
      <c:catAx>
        <c:axId val="5731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73118592"/>
        <c:crosses val="autoZero"/>
        <c:auto val="1"/>
        <c:lblAlgn val="ctr"/>
        <c:lblOffset val="100"/>
        <c:noMultiLvlLbl val="0"/>
      </c:catAx>
      <c:valAx>
        <c:axId val="5731185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7312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resultados'!$D$57:$N$57</c:f>
              <c:strCache>
                <c:ptCount val="11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  <c:pt idx="10">
                  <c:v>Año 11</c:v>
                </c:pt>
              </c:strCache>
            </c:strRef>
          </c:cat>
          <c:val>
            <c:numRef>
              <c:f>'Estado de resultados'!$D$79:$M$79</c:f>
              <c:numCache>
                <c:formatCode>0.00%</c:formatCode>
                <c:ptCount val="10"/>
                <c:pt idx="0">
                  <c:v>6.5754886223256911E-2</c:v>
                </c:pt>
                <c:pt idx="1">
                  <c:v>0.9935691448714028</c:v>
                </c:pt>
                <c:pt idx="2">
                  <c:v>1.398696739354045</c:v>
                </c:pt>
                <c:pt idx="3">
                  <c:v>2.0614052039292154</c:v>
                </c:pt>
                <c:pt idx="4">
                  <c:v>3.305657344133226</c:v>
                </c:pt>
                <c:pt idx="5">
                  <c:v>6.3788967054391819</c:v>
                </c:pt>
                <c:pt idx="6">
                  <c:v>24.60250191963048</c:v>
                </c:pt>
                <c:pt idx="7">
                  <c:v>-18.779593361439836</c:v>
                </c:pt>
                <c:pt idx="8">
                  <c:v>-7.7266983681312933</c:v>
                </c:pt>
                <c:pt idx="9">
                  <c:v>-5.2365998091655221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8-384D-A3D7-737AACA3D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850368"/>
        <c:axId val="573127104"/>
      </c:barChart>
      <c:catAx>
        <c:axId val="33985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73127104"/>
        <c:crosses val="autoZero"/>
        <c:auto val="1"/>
        <c:lblAlgn val="ctr"/>
        <c:lblOffset val="100"/>
        <c:noMultiLvlLbl val="0"/>
      </c:catAx>
      <c:valAx>
        <c:axId val="5731271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985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numFmt formatCode="#,##0,,;\(#,##0,,\);&quot;-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resultados'!$D$58:$M$58</c:f>
              <c:numCache>
                <c:formatCode>_(* #,##0_);_(* \(#,##0\);_(* "-"_);_(@_)</c:formatCode>
                <c:ptCount val="10"/>
                <c:pt idx="0">
                  <c:v>2113250000</c:v>
                </c:pt>
                <c:pt idx="1">
                  <c:v>14082805800</c:v>
                </c:pt>
                <c:pt idx="2">
                  <c:v>16439236884.504004</c:v>
                </c:pt>
                <c:pt idx="3">
                  <c:v>19102734044.070896</c:v>
                </c:pt>
                <c:pt idx="4">
                  <c:v>22111623373.128967</c:v>
                </c:pt>
                <c:pt idx="5">
                  <c:v>25503126769.407661</c:v>
                </c:pt>
                <c:pt idx="6">
                  <c:v>29278357060.639275</c:v>
                </c:pt>
                <c:pt idx="7">
                  <c:v>33552701489.819916</c:v>
                </c:pt>
                <c:pt idx="8">
                  <c:v>38423646557.836823</c:v>
                </c:pt>
                <c:pt idx="9">
                  <c:v>43939778486.000443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4-4244-80C2-D217F3E3FD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1375424"/>
        <c:axId val="578648512"/>
      </c:lineChart>
      <c:catAx>
        <c:axId val="3413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78648512"/>
        <c:crosses val="autoZero"/>
        <c:auto val="1"/>
        <c:lblAlgn val="ctr"/>
        <c:lblOffset val="100"/>
        <c:noMultiLvlLbl val="0"/>
      </c:catAx>
      <c:valAx>
        <c:axId val="578648512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4137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KTNO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>
        <c:manualLayout>
          <c:layoutTarget val="inner"/>
          <c:xMode val="edge"/>
          <c:yMode val="edge"/>
          <c:x val="3.2304110566881102E-2"/>
          <c:y val="0.14544445575537712"/>
          <c:w val="0.93156706951066781"/>
          <c:h val="0.74976401281337712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numFmt formatCode="#,##0,,;\(#,##0,,\);&quot;-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resultados'!$D$38:$M$38</c:f>
              <c:numCache>
                <c:formatCode>_(* #,##0_);_(* \(#,##0\);_(* "-"_);_(@_)</c:formatCode>
                <c:ptCount val="10"/>
                <c:pt idx="0">
                  <c:v>-216488080.83863842</c:v>
                </c:pt>
                <c:pt idx="1">
                  <c:v>-3710563148.114378</c:v>
                </c:pt>
                <c:pt idx="2">
                  <c:v>-4332667153.0110521</c:v>
                </c:pt>
                <c:pt idx="3">
                  <c:v>-5029539160.0789814</c:v>
                </c:pt>
                <c:pt idx="4">
                  <c:v>-5810400748.3506641</c:v>
                </c:pt>
                <c:pt idx="5">
                  <c:v>-6683968080.1880207</c:v>
                </c:pt>
                <c:pt idx="6">
                  <c:v>-7648994323.9477835</c:v>
                </c:pt>
                <c:pt idx="7">
                  <c:v>-8735244672.6315422</c:v>
                </c:pt>
                <c:pt idx="8">
                  <c:v>-9966864701.3037872</c:v>
                </c:pt>
                <c:pt idx="9">
                  <c:v>-11356807897.831085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E-D846-AB1A-2015D10C01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9851264"/>
        <c:axId val="993818176"/>
      </c:lineChart>
      <c:catAx>
        <c:axId val="33985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993818176"/>
        <c:crosses val="autoZero"/>
        <c:auto val="1"/>
        <c:lblAlgn val="ctr"/>
        <c:lblOffset val="100"/>
        <c:noMultiLvlLbl val="0"/>
      </c:catAx>
      <c:valAx>
        <c:axId val="99381817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985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Palanca de crecimiento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resultados'!$D$85:$M$85</c:f>
              <c:numCache>
                <c:formatCode>0.0\x</c:formatCode>
                <c:ptCount val="10"/>
                <c:pt idx="0">
                  <c:v>-9.7615073855965875</c:v>
                </c:pt>
                <c:pt idx="1">
                  <c:v>-3.7953284280194919</c:v>
                </c:pt>
                <c:pt idx="2">
                  <c:v>-3.794253355713999</c:v>
                </c:pt>
                <c:pt idx="3">
                  <c:v>-3.7981082234522097</c:v>
                </c:pt>
                <c:pt idx="4">
                  <c:v>-3.8055246670215572</c:v>
                </c:pt>
                <c:pt idx="5">
                  <c:v>-3.8155668105300493</c:v>
                </c:pt>
                <c:pt idx="6">
                  <c:v>-3.827739415229189</c:v>
                </c:pt>
                <c:pt idx="7">
                  <c:v>-3.8410717440971203</c:v>
                </c:pt>
                <c:pt idx="8">
                  <c:v>-3.8551387732604159</c:v>
                </c:pt>
                <c:pt idx="9">
                  <c:v>-3.8690254234547745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A-984B-8D10-B8567A66AC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8410368"/>
        <c:axId val="338408128"/>
      </c:barChart>
      <c:catAx>
        <c:axId val="33841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8408128"/>
        <c:crosses val="autoZero"/>
        <c:auto val="1"/>
        <c:lblAlgn val="ctr"/>
        <c:lblOffset val="100"/>
        <c:noMultiLvlLbl val="0"/>
      </c:catAx>
      <c:valAx>
        <c:axId val="338408128"/>
        <c:scaling>
          <c:orientation val="minMax"/>
        </c:scaling>
        <c:delete val="0"/>
        <c:axPos val="l"/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84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resultados'!$D$82:$M$82</c:f>
              <c:numCache>
                <c:formatCode>0.00%</c:formatCode>
                <c:ptCount val="10"/>
                <c:pt idx="0">
                  <c:v>0.21674358974358973</c:v>
                </c:pt>
                <c:pt idx="1">
                  <c:v>0.38623367198838898</c:v>
                </c:pt>
                <c:pt idx="2">
                  <c:v>0.39810978448393902</c:v>
                </c:pt>
                <c:pt idx="3">
                  <c:v>0.40948231141763392</c:v>
                </c:pt>
                <c:pt idx="4">
                  <c:v>0.42037339358652531</c:v>
                </c:pt>
                <c:pt idx="5">
                  <c:v>0.43080415868768379</c:v>
                </c:pt>
                <c:pt idx="6">
                  <c:v>0.44079476960111491</c:v>
                </c:pt>
                <c:pt idx="7">
                  <c:v>0.45036447028165705</c:v>
                </c:pt>
                <c:pt idx="8">
                  <c:v>0.45953162938229491</c:v>
                </c:pt>
                <c:pt idx="9">
                  <c:v>0.46831378172488458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1-3A4F-B4F3-5140B23001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0779328"/>
        <c:axId val="333353792"/>
      </c:barChart>
      <c:catAx>
        <c:axId val="5807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3353792"/>
        <c:crosses val="autoZero"/>
        <c:auto val="1"/>
        <c:lblAlgn val="ctr"/>
        <c:lblOffset val="100"/>
        <c:noMultiLvlLbl val="0"/>
      </c:catAx>
      <c:valAx>
        <c:axId val="33335379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8077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</a:t>
            </a:r>
            <a:r>
              <a:rPr lang="en-US" baseline="0"/>
              <a:t> bruto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resultados'!$D$80:$M$80</c:f>
              <c:numCache>
                <c:formatCode>0.00%</c:formatCode>
                <c:ptCount val="10"/>
                <c:pt idx="0">
                  <c:v>0.66807692307692312</c:v>
                </c:pt>
                <c:pt idx="1">
                  <c:v>0.69942670537010154</c:v>
                </c:pt>
                <c:pt idx="2">
                  <c:v>0.70885792918366786</c:v>
                </c:pt>
                <c:pt idx="3">
                  <c:v>0.7179239573607743</c:v>
                </c:pt>
                <c:pt idx="4">
                  <c:v>0.72663909730646925</c:v>
                </c:pt>
                <c:pt idx="5">
                  <c:v>0.7350170867253667</c:v>
                </c:pt>
                <c:pt idx="6">
                  <c:v>0.74307111680647608</c:v>
                </c:pt>
                <c:pt idx="7">
                  <c:v>0.75081385443765813</c:v>
                </c:pt>
                <c:pt idx="8">
                  <c:v>0.75825746349172995</c:v>
                </c:pt>
                <c:pt idx="9">
                  <c:v>0.76541362522435141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6-8541-8607-762F45383D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1724224"/>
        <c:axId val="341725568"/>
      </c:barChart>
      <c:catAx>
        <c:axId val="34172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41725568"/>
        <c:crosses val="autoZero"/>
        <c:auto val="1"/>
        <c:lblAlgn val="ctr"/>
        <c:lblOffset val="100"/>
        <c:noMultiLvlLbl val="0"/>
      </c:catAx>
      <c:valAx>
        <c:axId val="3417255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4172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EBIT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resultados'!$D$81:$M$81</c:f>
              <c:numCache>
                <c:formatCode>0.00%</c:formatCode>
                <c:ptCount val="10"/>
                <c:pt idx="0">
                  <c:v>0.13471282051282052</c:v>
                </c:pt>
                <c:pt idx="1">
                  <c:v>0.3642984344197282</c:v>
                </c:pt>
                <c:pt idx="2">
                  <c:v>0.37874098969940778</c:v>
                </c:pt>
                <c:pt idx="3">
                  <c:v>0.39233796171793872</c:v>
                </c:pt>
                <c:pt idx="4">
                  <c:v>0.40516805861328742</c:v>
                </c:pt>
                <c:pt idx="5">
                  <c:v>0.4172937695799559</c:v>
                </c:pt>
                <c:pt idx="6">
                  <c:v>0.42875353190472371</c:v>
                </c:pt>
                <c:pt idx="7">
                  <c:v>0.43962907529593415</c:v>
                </c:pt>
                <c:pt idx="8">
                  <c:v>0.4499663374304565</c:v>
                </c:pt>
                <c:pt idx="9">
                  <c:v>0.45978944738526339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8-2B40-85FB-62ABB3BFE7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8365504"/>
        <c:axId val="338376704"/>
      </c:barChart>
      <c:catAx>
        <c:axId val="3383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8376704"/>
        <c:crosses val="autoZero"/>
        <c:auto val="1"/>
        <c:lblAlgn val="ctr"/>
        <c:lblOffset val="100"/>
        <c:noMultiLvlLbl val="0"/>
      </c:catAx>
      <c:valAx>
        <c:axId val="3383767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836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Productividad</a:t>
            </a:r>
            <a:r>
              <a:rPr lang="en-US" baseline="0"/>
              <a:t> del capital de trabajo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resultados'!$D$83:$M$83</c:f>
              <c:numCache>
                <c:formatCode>0.00%</c:formatCode>
                <c:ptCount val="10"/>
                <c:pt idx="0">
                  <c:v>-2.2203905727039838E-2</c:v>
                </c:pt>
                <c:pt idx="1">
                  <c:v>-0.10176554659590724</c:v>
                </c:pt>
                <c:pt idx="2">
                  <c:v>-0.10492440729726207</c:v>
                </c:pt>
                <c:pt idx="3">
                  <c:v>-0.10781217577982644</c:v>
                </c:pt>
                <c:pt idx="4">
                  <c:v>-0.11046397812881238</c:v>
                </c:pt>
                <c:pt idx="5">
                  <c:v>-0.11290698868088685</c:v>
                </c:pt>
                <c:pt idx="6">
                  <c:v>-0.11515798798825023</c:v>
                </c:pt>
                <c:pt idx="7">
                  <c:v>-0.11724968974447506</c:v>
                </c:pt>
                <c:pt idx="8">
                  <c:v>-0.11919976333138693</c:v>
                </c:pt>
                <c:pt idx="9">
                  <c:v>-0.12104179488867572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B-3548-AA9C-DAD4A4A76C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2675072"/>
        <c:axId val="332665216"/>
      </c:barChart>
      <c:catAx>
        <c:axId val="33267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2665216"/>
        <c:crosses val="autoZero"/>
        <c:auto val="1"/>
        <c:lblAlgn val="ctr"/>
        <c:lblOffset val="100"/>
        <c:noMultiLvlLbl val="0"/>
      </c:catAx>
      <c:valAx>
        <c:axId val="3326652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267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Razón de cobertura de intereses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resultados'!$D$88:$M$88</c:f>
              <c:numCache>
                <c:formatCode>0.0\x</c:formatCode>
                <c:ptCount val="10"/>
                <c:pt idx="0">
                  <c:v>14.96471979451398</c:v>
                </c:pt>
                <c:pt idx="1">
                  <c:v>78.617761323886896</c:v>
                </c:pt>
                <c:pt idx="2">
                  <c:v>103.29684494837487</c:v>
                </c:pt>
                <c:pt idx="3">
                  <c:v>136.743255629239</c:v>
                </c:pt>
                <c:pt idx="4">
                  <c:v>183.25666315287984</c:v>
                </c:pt>
                <c:pt idx="5">
                  <c:v>250.18309750589123</c:v>
                </c:pt>
                <c:pt idx="6">
                  <c:v>350.77714791932891</c:v>
                </c:pt>
                <c:pt idx="7">
                  <c:v>514.71499066288914</c:v>
                </c:pt>
                <c:pt idx="8">
                  <c:v>816.50516372521986</c:v>
                </c:pt>
                <c:pt idx="9">
                  <c:v>1966.0518176842911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3-004D-99C9-EC5AD6581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9404800"/>
        <c:axId val="419404352"/>
      </c:barChart>
      <c:catAx>
        <c:axId val="41940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419404352"/>
        <c:crosses val="autoZero"/>
        <c:auto val="1"/>
        <c:lblAlgn val="ctr"/>
        <c:lblOffset val="100"/>
        <c:noMultiLvlLbl val="0"/>
      </c:catAx>
      <c:valAx>
        <c:axId val="419404352"/>
        <c:scaling>
          <c:orientation val="minMax"/>
        </c:scaling>
        <c:delete val="0"/>
        <c:axPos val="l"/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41940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Razón de cobertura de servicio a la deuda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resultados'!$D$90:$M$90</c:f>
              <c:numCache>
                <c:formatCode>0.0\x</c:formatCode>
                <c:ptCount val="10"/>
                <c:pt idx="0">
                  <c:v>1.0653044900613822</c:v>
                </c:pt>
                <c:pt idx="1">
                  <c:v>5.1106863155835649</c:v>
                </c:pt>
                <c:pt idx="2">
                  <c:v>4.9224288924288082</c:v>
                </c:pt>
                <c:pt idx="3">
                  <c:v>6.1481050730758042</c:v>
                </c:pt>
                <c:pt idx="4">
                  <c:v>7.705310216552598</c:v>
                </c:pt>
                <c:pt idx="5">
                  <c:v>9.7025466023144791</c:v>
                </c:pt>
                <c:pt idx="6">
                  <c:v>12.274503363325364</c:v>
                </c:pt>
                <c:pt idx="7">
                  <c:v>15.697996625822482</c:v>
                </c:pt>
                <c:pt idx="8">
                  <c:v>20.362159977095107</c:v>
                </c:pt>
                <c:pt idx="9">
                  <c:v>15.915731551638485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A-E245-AA4D-246CBA776B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8405440"/>
        <c:axId val="338406336"/>
      </c:barChart>
      <c:catAx>
        <c:axId val="3384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8406336"/>
        <c:crosses val="autoZero"/>
        <c:auto val="1"/>
        <c:lblAlgn val="ctr"/>
        <c:lblOffset val="100"/>
        <c:noMultiLvlLbl val="0"/>
      </c:catAx>
      <c:valAx>
        <c:axId val="338406336"/>
        <c:scaling>
          <c:orientation val="minMax"/>
        </c:scaling>
        <c:delete val="0"/>
        <c:axPos val="l"/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384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Apalancamiento</a:t>
            </a:r>
            <a:r>
              <a:rPr lang="en-US" baseline="0"/>
              <a:t> financiero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'Estado de resultados'!$C$57:$N$57</c:f>
              <c:strCache>
                <c:ptCount val="12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</c:strCache>
            </c:strRef>
          </c:cat>
          <c:val>
            <c:numRef>
              <c:f>'Estado de resultados'!$D$92:$M$92</c:f>
              <c:numCache>
                <c:formatCode>0.0\x</c:formatCode>
                <c:ptCount val="10"/>
                <c:pt idx="0">
                  <c:v>3.9749201466934818</c:v>
                </c:pt>
                <c:pt idx="1">
                  <c:v>0.53682484210639336</c:v>
                </c:pt>
                <c:pt idx="2">
                  <c:v>0.40877809883829974</c:v>
                </c:pt>
                <c:pt idx="3">
                  <c:v>0.30780934218288158</c:v>
                </c:pt>
                <c:pt idx="4">
                  <c:v>0.22793441779244636</c:v>
                </c:pt>
                <c:pt idx="5">
                  <c:v>0.16468568885592963</c:v>
                </c:pt>
                <c:pt idx="6">
                  <c:v>0.11476053772556309</c:v>
                </c:pt>
                <c:pt idx="7">
                  <c:v>7.5105725861286693E-2</c:v>
                </c:pt>
                <c:pt idx="8">
                  <c:v>4.3723075514740542E-2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F-2242-8A13-54BF640F1B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7113728"/>
        <c:axId val="297108352"/>
      </c:barChart>
      <c:catAx>
        <c:axId val="29711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297108352"/>
        <c:crosses val="autoZero"/>
        <c:auto val="1"/>
        <c:lblAlgn val="ctr"/>
        <c:lblOffset val="100"/>
        <c:noMultiLvlLbl val="0"/>
      </c:catAx>
      <c:valAx>
        <c:axId val="297108352"/>
        <c:scaling>
          <c:orientation val="minMax"/>
        </c:scaling>
        <c:delete val="0"/>
        <c:axPos val="l"/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29711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660260</xdr:colOff>
      <xdr:row>33</xdr:row>
      <xdr:rowOff>16565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12D7DA-342E-37D6-7CAF-6774DE725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29978"/>
          <a:ext cx="8040064" cy="17310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146050</xdr:colOff>
      <xdr:row>94</xdr:row>
      <xdr:rowOff>127000</xdr:rowOff>
    </xdr:from>
    <xdr:to>
      <xdr:col>3</xdr:col>
      <xdr:colOff>412750</xdr:colOff>
      <xdr:row>112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56782-75B4-A217-A054-5C668503D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577850</xdr:colOff>
      <xdr:row>94</xdr:row>
      <xdr:rowOff>139700</xdr:rowOff>
    </xdr:from>
    <xdr:to>
      <xdr:col>6</xdr:col>
      <xdr:colOff>793750</xdr:colOff>
      <xdr:row>112</xdr:row>
      <xdr:rowOff>139700</xdr:rowOff>
    </xdr:to>
    <xdr:graphicFrame macro="">
      <xdr:nvGraphicFramePr>
        <xdr:cNvPr id="142" name="Chart 2">
          <a:extLst>
            <a:ext uri="{FF2B5EF4-FFF2-40B4-BE49-F238E27FC236}">
              <a16:creationId xmlns:a16="http://schemas.microsoft.com/office/drawing/2014/main" id="{977C32D1-A2B3-7BC5-1021-00E76C44D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971550</xdr:colOff>
      <xdr:row>95</xdr:row>
      <xdr:rowOff>0</xdr:rowOff>
    </xdr:from>
    <xdr:to>
      <xdr:col>10</xdr:col>
      <xdr:colOff>158750</xdr:colOff>
      <xdr:row>113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9E366D-C4F3-B43D-D1AD-EFC1811BA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158750</xdr:colOff>
      <xdr:row>114</xdr:row>
      <xdr:rowOff>63500</xdr:rowOff>
    </xdr:from>
    <xdr:to>
      <xdr:col>3</xdr:col>
      <xdr:colOff>425450</xdr:colOff>
      <xdr:row>132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BF4DB3-C979-26AE-7651-1913EE2F1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546138</xdr:colOff>
      <xdr:row>114</xdr:row>
      <xdr:rowOff>92710</xdr:rowOff>
    </xdr:from>
    <xdr:to>
      <xdr:col>6</xdr:col>
      <xdr:colOff>758228</xdr:colOff>
      <xdr:row>132</xdr:row>
      <xdr:rowOff>92710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A5CE87-7EE7-7A1B-80B4-55205071D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996950</xdr:colOff>
      <xdr:row>114</xdr:row>
      <xdr:rowOff>127000</xdr:rowOff>
    </xdr:from>
    <xdr:to>
      <xdr:col>10</xdr:col>
      <xdr:colOff>184150</xdr:colOff>
      <xdr:row>132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C86406-487B-0962-A74B-84A71E78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438150</xdr:colOff>
      <xdr:row>95</xdr:row>
      <xdr:rowOff>25400</xdr:rowOff>
    </xdr:from>
    <xdr:to>
      <xdr:col>13</xdr:col>
      <xdr:colOff>742950</xdr:colOff>
      <xdr:row>113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EAE8C6-5F47-F69F-E077-F718A4CF7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476250</xdr:colOff>
      <xdr:row>114</xdr:row>
      <xdr:rowOff>101600</xdr:rowOff>
    </xdr:from>
    <xdr:to>
      <xdr:col>13</xdr:col>
      <xdr:colOff>781050</xdr:colOff>
      <xdr:row>132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A16ECD-C9D1-3103-4444-7DDB3D1AF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146050</xdr:colOff>
      <xdr:row>134</xdr:row>
      <xdr:rowOff>12700</xdr:rowOff>
    </xdr:from>
    <xdr:to>
      <xdr:col>3</xdr:col>
      <xdr:colOff>412750</xdr:colOff>
      <xdr:row>152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B9064B-0B18-3848-76C2-F92021C99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565150</xdr:colOff>
      <xdr:row>134</xdr:row>
      <xdr:rowOff>25400</xdr:rowOff>
    </xdr:from>
    <xdr:to>
      <xdr:col>6</xdr:col>
      <xdr:colOff>781050</xdr:colOff>
      <xdr:row>152</xdr:row>
      <xdr:rowOff>25400</xdr:rowOff>
    </xdr:to>
    <xdr:graphicFrame macro="">
      <xdr:nvGraphicFramePr>
        <xdr:cNvPr id="52" name="Chart 93">
          <a:extLst>
            <a:ext uri="{FF2B5EF4-FFF2-40B4-BE49-F238E27FC236}">
              <a16:creationId xmlns:a16="http://schemas.microsoft.com/office/drawing/2014/main" id="{22DF0BD8-9EB8-6A17-00C8-295BF1AFD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1085850</xdr:colOff>
      <xdr:row>134</xdr:row>
      <xdr:rowOff>76200</xdr:rowOff>
    </xdr:from>
    <xdr:to>
      <xdr:col>10</xdr:col>
      <xdr:colOff>273050</xdr:colOff>
      <xdr:row>152</xdr:row>
      <xdr:rowOff>76200</xdr:rowOff>
    </xdr:to>
    <xdr:graphicFrame macro="">
      <xdr:nvGraphicFramePr>
        <xdr:cNvPr id="104" name="Chart 58">
          <a:extLst>
            <a:ext uri="{FF2B5EF4-FFF2-40B4-BE49-F238E27FC236}">
              <a16:creationId xmlns:a16="http://schemas.microsoft.com/office/drawing/2014/main" id="{4F8DDFA9-C351-F81B-F797-286D8042B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501650</xdr:colOff>
      <xdr:row>134</xdr:row>
      <xdr:rowOff>50800</xdr:rowOff>
    </xdr:from>
    <xdr:to>
      <xdr:col>13</xdr:col>
      <xdr:colOff>806450</xdr:colOff>
      <xdr:row>152</xdr:row>
      <xdr:rowOff>50800</xdr:rowOff>
    </xdr:to>
    <xdr:graphicFrame macro="">
      <xdr:nvGraphicFramePr>
        <xdr:cNvPr id="147" name="Chart 102">
          <a:extLst>
            <a:ext uri="{FF2B5EF4-FFF2-40B4-BE49-F238E27FC236}">
              <a16:creationId xmlns:a16="http://schemas.microsoft.com/office/drawing/2014/main" id="{8415C07B-7D23-1442-97BB-E1A4812DC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B6115D-0AB7-EF44-B913-27FB9D61DF1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f8186d7-294f-49d9-becb-109d708b844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rupoaval.com/wps/portal/grupo-aval/aval/portal-financiero/indicadores/tasas-intere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rupoaval.com/wps/portal/grupo-aval/aval/portal-financiero/renta-fija/tes/datos-historico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uameca.banrep.gov.co/indicadores-economicos-del-dia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upoaval.com/wps/portal/grupo-aval/aval/portal-financiero/renta-fija/tes/curva-rentabilidad" TargetMode="External"/><Relationship Id="rId2" Type="http://schemas.openxmlformats.org/officeDocument/2006/relationships/hyperlink" Target="https://www.grupoaval.com/wps/portal/grupo-aval/aval/portal-financiero/renta-fija/yankees" TargetMode="External"/><Relationship Id="rId1" Type="http://schemas.openxmlformats.org/officeDocument/2006/relationships/hyperlink" Target="https://www.bloomberg.com/markets/rates-bonds/government-bonds/u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8436-0EAC-2B49-A1DA-963BB4B88758}">
  <dimension ref="B1:H41"/>
  <sheetViews>
    <sheetView showGridLines="0" zoomScale="90" zoomScaleNormal="90" workbookViewId="0">
      <selection activeCell="C36" sqref="C36"/>
    </sheetView>
  </sheetViews>
  <sheetFormatPr baseColWidth="10" defaultColWidth="11" defaultRowHeight="16" x14ac:dyDescent="0.2"/>
  <cols>
    <col min="2" max="2" width="47" bestFit="1" customWidth="1"/>
    <col min="3" max="3" width="22.6640625" customWidth="1"/>
    <col min="4" max="4" width="28.6640625" bestFit="1" customWidth="1"/>
    <col min="5" max="5" width="22.6640625" customWidth="1"/>
    <col min="6" max="6" width="29.5" customWidth="1"/>
    <col min="8" max="8" width="32.5" bestFit="1" customWidth="1"/>
    <col min="9" max="9" width="10.1640625" bestFit="1" customWidth="1"/>
    <col min="10" max="10" width="15.1640625" customWidth="1"/>
  </cols>
  <sheetData>
    <row r="1" spans="2:8" ht="372" x14ac:dyDescent="0.2">
      <c r="B1" s="26" t="s">
        <v>0</v>
      </c>
      <c r="C1" t="s">
        <v>1</v>
      </c>
      <c r="H1" s="26"/>
    </row>
    <row r="2" spans="2:8" x14ac:dyDescent="0.2">
      <c r="B2" s="26"/>
      <c r="H2" s="26"/>
    </row>
    <row r="3" spans="2:8" x14ac:dyDescent="0.2">
      <c r="B3" s="157" t="s">
        <v>2</v>
      </c>
      <c r="C3" s="157"/>
      <c r="H3" s="26"/>
    </row>
    <row r="4" spans="2:8" x14ac:dyDescent="0.2">
      <c r="B4" s="1" t="s">
        <v>3</v>
      </c>
      <c r="C4" s="16" t="s">
        <v>4</v>
      </c>
      <c r="D4" s="23" t="s">
        <v>5</v>
      </c>
      <c r="E4" s="23" t="s">
        <v>6</v>
      </c>
      <c r="F4" s="23" t="s">
        <v>7</v>
      </c>
    </row>
    <row r="5" spans="2:8" x14ac:dyDescent="0.2">
      <c r="B5" s="2" t="s">
        <v>8</v>
      </c>
      <c r="C5" s="17">
        <v>8500</v>
      </c>
      <c r="D5" s="27">
        <v>0.1</v>
      </c>
      <c r="E5" s="29">
        <v>20</v>
      </c>
      <c r="F5" s="29" t="s">
        <v>9</v>
      </c>
    </row>
    <row r="6" spans="2:8" x14ac:dyDescent="0.2">
      <c r="B6" s="5" t="s">
        <v>10</v>
      </c>
      <c r="C6" s="18">
        <v>2500</v>
      </c>
      <c r="D6" s="28">
        <v>0.1</v>
      </c>
      <c r="E6" s="30">
        <f>1/D6</f>
        <v>10</v>
      </c>
      <c r="F6" s="30" t="s">
        <v>11</v>
      </c>
    </row>
    <row r="7" spans="2:8" x14ac:dyDescent="0.2">
      <c r="B7" s="2" t="s">
        <v>12</v>
      </c>
      <c r="C7" s="17">
        <v>900</v>
      </c>
      <c r="D7" s="40">
        <v>2.1999999999999999E-2</v>
      </c>
      <c r="E7" s="29">
        <f>1/D7</f>
        <v>45.45454545454546</v>
      </c>
      <c r="F7" s="29" t="s">
        <v>11</v>
      </c>
    </row>
    <row r="8" spans="2:8" x14ac:dyDescent="0.2">
      <c r="B8" s="5" t="s">
        <v>13</v>
      </c>
      <c r="C8" s="18">
        <v>850</v>
      </c>
      <c r="D8" s="28" t="s">
        <v>14</v>
      </c>
      <c r="E8" s="30">
        <v>20</v>
      </c>
      <c r="F8" s="29" t="s">
        <v>9</v>
      </c>
    </row>
    <row r="9" spans="2:8" ht="17" thickBot="1" x14ac:dyDescent="0.25">
      <c r="B9" s="2" t="s">
        <v>15</v>
      </c>
      <c r="C9" s="17">
        <v>1250</v>
      </c>
      <c r="D9" s="27" t="s">
        <v>14</v>
      </c>
      <c r="E9" s="30">
        <v>20</v>
      </c>
      <c r="F9" s="29" t="s">
        <v>9</v>
      </c>
    </row>
    <row r="10" spans="2:8" ht="17" thickBot="1" x14ac:dyDescent="0.25">
      <c r="B10" s="13" t="s">
        <v>16</v>
      </c>
      <c r="C10" s="19">
        <f>SUM(C5:C9)</f>
        <v>14000</v>
      </c>
      <c r="D10" s="24"/>
      <c r="E10" s="24"/>
      <c r="F10" s="24"/>
    </row>
    <row r="11" spans="2:8" x14ac:dyDescent="0.2">
      <c r="B11" s="1" t="s">
        <v>3</v>
      </c>
      <c r="C11" s="16" t="s">
        <v>4</v>
      </c>
      <c r="D11" s="16" t="s">
        <v>17</v>
      </c>
    </row>
    <row r="12" spans="2:8" x14ac:dyDescent="0.2">
      <c r="B12" s="2" t="s">
        <v>18</v>
      </c>
      <c r="C12" s="92">
        <v>5000</v>
      </c>
      <c r="D12" s="2" t="s">
        <v>19</v>
      </c>
    </row>
    <row r="13" spans="2:8" x14ac:dyDescent="0.2">
      <c r="B13" s="5" t="s">
        <v>20</v>
      </c>
      <c r="C13" s="93">
        <v>2500</v>
      </c>
      <c r="D13" s="5" t="s">
        <v>19</v>
      </c>
    </row>
    <row r="14" spans="2:8" ht="17" thickBot="1" x14ac:dyDescent="0.25">
      <c r="B14" s="2" t="s">
        <v>21</v>
      </c>
      <c r="C14" s="92">
        <v>420</v>
      </c>
      <c r="D14" s="2" t="s">
        <v>19</v>
      </c>
    </row>
    <row r="15" spans="2:8" ht="17" thickBot="1" x14ac:dyDescent="0.25">
      <c r="B15" s="13" t="s">
        <v>22</v>
      </c>
      <c r="C15" s="19">
        <f>SUM(C12:C14)</f>
        <v>7920</v>
      </c>
    </row>
    <row r="17" spans="2:5" x14ac:dyDescent="0.2">
      <c r="B17" t="s">
        <v>23</v>
      </c>
      <c r="C17" s="10">
        <v>0.35</v>
      </c>
    </row>
    <row r="18" spans="2:5" ht="17" x14ac:dyDescent="0.2">
      <c r="B18" t="s">
        <v>24</v>
      </c>
      <c r="C18" s="14">
        <v>20000</v>
      </c>
      <c r="D18" t="s">
        <v>25</v>
      </c>
      <c r="E18" s="38" t="s">
        <v>26</v>
      </c>
    </row>
    <row r="19" spans="2:5" ht="17" x14ac:dyDescent="0.2">
      <c r="B19" t="s">
        <v>27</v>
      </c>
      <c r="C19" s="21">
        <f>C20*0.1</f>
        <v>2800</v>
      </c>
      <c r="D19" t="s">
        <v>25</v>
      </c>
      <c r="E19" s="38" t="s">
        <v>28</v>
      </c>
    </row>
    <row r="20" spans="2:5" ht="17" customHeight="1" x14ac:dyDescent="0.2">
      <c r="B20" t="s">
        <v>29</v>
      </c>
      <c r="C20" s="14">
        <v>28000</v>
      </c>
      <c r="D20" t="s">
        <v>25</v>
      </c>
      <c r="E20" s="158" t="s">
        <v>30</v>
      </c>
    </row>
    <row r="21" spans="2:5" ht="17" customHeight="1" x14ac:dyDescent="0.2">
      <c r="B21" t="s">
        <v>31</v>
      </c>
      <c r="C21" s="11">
        <v>5.5E-2</v>
      </c>
      <c r="D21" t="s">
        <v>32</v>
      </c>
      <c r="E21" s="158"/>
    </row>
    <row r="22" spans="2:5" x14ac:dyDescent="0.2">
      <c r="B22" t="s">
        <v>33</v>
      </c>
      <c r="C22" s="15">
        <v>1600000</v>
      </c>
      <c r="D22" t="s">
        <v>34</v>
      </c>
      <c r="E22" s="158"/>
    </row>
    <row r="23" spans="2:5" x14ac:dyDescent="0.2">
      <c r="B23" t="s">
        <v>35</v>
      </c>
      <c r="C23" s="10">
        <v>0.02</v>
      </c>
      <c r="E23" s="158"/>
    </row>
    <row r="24" spans="2:5" ht="17" x14ac:dyDescent="0.2">
      <c r="B24" t="s">
        <v>36</v>
      </c>
      <c r="C24" s="36">
        <v>0.7</v>
      </c>
      <c r="D24" t="s">
        <v>37</v>
      </c>
      <c r="E24" s="38" t="s">
        <v>38</v>
      </c>
    </row>
    <row r="25" spans="2:5" x14ac:dyDescent="0.2">
      <c r="B25" t="s">
        <v>39</v>
      </c>
      <c r="C25" s="10">
        <v>0.1</v>
      </c>
      <c r="D25" t="s">
        <v>40</v>
      </c>
      <c r="E25" s="158" t="s">
        <v>41</v>
      </c>
    </row>
    <row r="26" spans="2:5" ht="17" customHeight="1" x14ac:dyDescent="0.2">
      <c r="B26" t="s">
        <v>42</v>
      </c>
      <c r="C26" s="10">
        <v>0.25</v>
      </c>
      <c r="D26" t="s">
        <v>43</v>
      </c>
      <c r="E26" s="158"/>
    </row>
    <row r="27" spans="2:5" x14ac:dyDescent="0.2">
      <c r="B27" t="s">
        <v>44</v>
      </c>
      <c r="C27" s="11">
        <v>0.02</v>
      </c>
      <c r="D27" t="s">
        <v>43</v>
      </c>
      <c r="E27" s="158"/>
    </row>
    <row r="28" spans="2:5" ht="17" customHeight="1" x14ac:dyDescent="0.2">
      <c r="B28" t="s">
        <v>45</v>
      </c>
      <c r="C28" s="153">
        <v>30</v>
      </c>
      <c r="D28" s="39"/>
      <c r="E28" s="158" t="s">
        <v>46</v>
      </c>
    </row>
    <row r="29" spans="2:5" x14ac:dyDescent="0.2">
      <c r="B29" t="s">
        <v>47</v>
      </c>
      <c r="C29">
        <v>90</v>
      </c>
      <c r="D29" s="39"/>
      <c r="E29" s="158"/>
    </row>
    <row r="30" spans="2:5" x14ac:dyDescent="0.2">
      <c r="B30" t="s">
        <v>48</v>
      </c>
      <c r="C30" s="20">
        <v>6500000</v>
      </c>
      <c r="D30" s="20" t="s">
        <v>25</v>
      </c>
      <c r="E30" s="158"/>
    </row>
    <row r="31" spans="2:5" ht="16.25" customHeight="1" x14ac:dyDescent="0.2">
      <c r="B31" t="s">
        <v>49</v>
      </c>
      <c r="C31" s="11">
        <v>0.06</v>
      </c>
      <c r="D31" s="11"/>
      <c r="E31" s="158"/>
    </row>
    <row r="32" spans="2:5" x14ac:dyDescent="0.2">
      <c r="B32" t="s">
        <v>50</v>
      </c>
      <c r="C32" s="94">
        <v>120</v>
      </c>
      <c r="D32" t="s">
        <v>51</v>
      </c>
      <c r="E32" s="158"/>
    </row>
    <row r="33" spans="2:5" x14ac:dyDescent="0.2">
      <c r="B33" t="s">
        <v>52</v>
      </c>
      <c r="C33" s="95">
        <v>0.02</v>
      </c>
      <c r="D33" s="39"/>
      <c r="E33" s="158"/>
    </row>
    <row r="34" spans="2:5" x14ac:dyDescent="0.2">
      <c r="B34" t="s">
        <v>53</v>
      </c>
      <c r="C34" s="10">
        <v>0.4</v>
      </c>
      <c r="D34" s="10" t="s">
        <v>54</v>
      </c>
      <c r="E34" s="158"/>
    </row>
    <row r="35" spans="2:5" ht="16.25" customHeight="1" x14ac:dyDescent="0.2">
      <c r="B35" t="s">
        <v>55</v>
      </c>
      <c r="C35" s="36">
        <v>0.6</v>
      </c>
      <c r="D35" t="s">
        <v>56</v>
      </c>
      <c r="E35" s="158"/>
    </row>
    <row r="36" spans="2:5" x14ac:dyDescent="0.2">
      <c r="B36" t="s">
        <v>373</v>
      </c>
      <c r="C36" s="36">
        <v>0.9</v>
      </c>
    </row>
    <row r="37" spans="2:5" x14ac:dyDescent="0.2">
      <c r="C37" s="151"/>
    </row>
    <row r="38" spans="2:5" ht="16.25" customHeight="1" x14ac:dyDescent="0.2"/>
    <row r="40" spans="2:5" x14ac:dyDescent="0.2">
      <c r="C40" s="10"/>
      <c r="E40" s="38"/>
    </row>
    <row r="41" spans="2:5" x14ac:dyDescent="0.2">
      <c r="C41" s="10"/>
      <c r="E41" s="38"/>
    </row>
  </sheetData>
  <mergeCells count="4">
    <mergeCell ref="B3:C3"/>
    <mergeCell ref="E28:E35"/>
    <mergeCell ref="E20:E23"/>
    <mergeCell ref="E25:E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4470-A839-4E40-B424-464F3A5A9F97}">
  <dimension ref="A2:I24"/>
  <sheetViews>
    <sheetView zoomScale="90" zoomScaleNormal="90" workbookViewId="0">
      <selection activeCell="B11" sqref="B11"/>
    </sheetView>
  </sheetViews>
  <sheetFormatPr baseColWidth="10" defaultColWidth="11" defaultRowHeight="16" x14ac:dyDescent="0.2"/>
  <cols>
    <col min="1" max="1" width="32.6640625" bestFit="1" customWidth="1"/>
    <col min="2" max="2" width="23.1640625" customWidth="1"/>
    <col min="3" max="3" width="22.1640625" customWidth="1"/>
    <col min="4" max="4" width="27.5" customWidth="1"/>
    <col min="5" max="5" width="23.5" customWidth="1"/>
    <col min="7" max="7" width="32.6640625" bestFit="1" customWidth="1"/>
    <col min="8" max="8" width="17" customWidth="1"/>
    <col min="9" max="9" width="19.6640625" customWidth="1"/>
  </cols>
  <sheetData>
    <row r="2" spans="1:9" ht="28" x14ac:dyDescent="0.2">
      <c r="A2" s="1" t="s">
        <v>57</v>
      </c>
      <c r="B2" s="1" t="s">
        <v>58</v>
      </c>
      <c r="C2" s="1" t="s">
        <v>59</v>
      </c>
      <c r="D2" s="25" t="s">
        <v>60</v>
      </c>
      <c r="E2" s="25" t="s">
        <v>61</v>
      </c>
    </row>
    <row r="3" spans="1:9" x14ac:dyDescent="0.2">
      <c r="A3" s="2" t="s">
        <v>62</v>
      </c>
      <c r="B3" s="3">
        <v>1</v>
      </c>
      <c r="C3" s="4">
        <v>15</v>
      </c>
      <c r="D3" s="4">
        <f>C3*12*B3</f>
        <v>180</v>
      </c>
      <c r="E3" s="4" t="s">
        <v>63</v>
      </c>
      <c r="G3" s="2" t="s">
        <v>64</v>
      </c>
      <c r="H3" s="15">
        <f>SUMIF(E3:E17,"SI",D3:D17)*1000000</f>
        <v>300000000</v>
      </c>
      <c r="I3" t="s">
        <v>4</v>
      </c>
    </row>
    <row r="4" spans="1:9" x14ac:dyDescent="0.2">
      <c r="A4" s="5" t="s">
        <v>65</v>
      </c>
      <c r="B4" s="6">
        <v>1</v>
      </c>
      <c r="C4" s="7">
        <v>9.5</v>
      </c>
      <c r="D4" s="4">
        <f t="shared" ref="D4:D17" si="0">C4*12*B4</f>
        <v>114</v>
      </c>
      <c r="E4" s="7" t="s">
        <v>19</v>
      </c>
      <c r="G4" s="2" t="s">
        <v>66</v>
      </c>
      <c r="H4" s="15">
        <f>SUMIF(E3:E17,"NO",D3:D17)*1000000</f>
        <v>1488000000</v>
      </c>
      <c r="I4" t="s">
        <v>4</v>
      </c>
    </row>
    <row r="5" spans="1:9" x14ac:dyDescent="0.2">
      <c r="A5" s="2" t="s">
        <v>67</v>
      </c>
      <c r="B5" s="3">
        <v>1</v>
      </c>
      <c r="C5" s="4">
        <v>3.5</v>
      </c>
      <c r="D5" s="4">
        <f t="shared" si="0"/>
        <v>42</v>
      </c>
      <c r="E5" s="4" t="s">
        <v>63</v>
      </c>
    </row>
    <row r="6" spans="1:9" x14ac:dyDescent="0.2">
      <c r="A6" s="5" t="s">
        <v>68</v>
      </c>
      <c r="B6" s="6">
        <v>1</v>
      </c>
      <c r="C6" s="7">
        <v>15</v>
      </c>
      <c r="D6" s="4">
        <f t="shared" si="0"/>
        <v>180</v>
      </c>
      <c r="E6" s="7" t="s">
        <v>63</v>
      </c>
    </row>
    <row r="7" spans="1:9" x14ac:dyDescent="0.2">
      <c r="A7" s="2" t="s">
        <v>69</v>
      </c>
      <c r="B7" s="3">
        <v>1</v>
      </c>
      <c r="C7" s="4">
        <v>12</v>
      </c>
      <c r="D7" s="4">
        <f t="shared" si="0"/>
        <v>144</v>
      </c>
      <c r="E7" s="4" t="s">
        <v>63</v>
      </c>
    </row>
    <row r="8" spans="1:9" x14ac:dyDescent="0.2">
      <c r="A8" s="5" t="s">
        <v>70</v>
      </c>
      <c r="B8" s="6">
        <v>1</v>
      </c>
      <c r="C8" s="7">
        <v>10</v>
      </c>
      <c r="D8" s="4">
        <f>C8*12*B8</f>
        <v>120</v>
      </c>
      <c r="E8" s="7" t="s">
        <v>63</v>
      </c>
    </row>
    <row r="9" spans="1:9" x14ac:dyDescent="0.2">
      <c r="A9" s="2" t="s">
        <v>71</v>
      </c>
      <c r="B9" s="3">
        <v>1</v>
      </c>
      <c r="C9" s="4">
        <v>7.5</v>
      </c>
      <c r="D9" s="4">
        <f t="shared" si="0"/>
        <v>90</v>
      </c>
      <c r="E9" s="4" t="s">
        <v>19</v>
      </c>
    </row>
    <row r="10" spans="1:9" x14ac:dyDescent="0.2">
      <c r="A10" s="5" t="s">
        <v>72</v>
      </c>
      <c r="B10" s="6">
        <v>1</v>
      </c>
      <c r="C10" s="7">
        <v>4</v>
      </c>
      <c r="D10" s="4">
        <f t="shared" si="0"/>
        <v>48</v>
      </c>
      <c r="E10" s="7" t="s">
        <v>63</v>
      </c>
    </row>
    <row r="11" spans="1:9" x14ac:dyDescent="0.2">
      <c r="A11" s="2" t="s">
        <v>73</v>
      </c>
      <c r="B11" s="3">
        <v>2</v>
      </c>
      <c r="C11" s="4">
        <v>4</v>
      </c>
      <c r="D11" s="4">
        <f t="shared" si="0"/>
        <v>96</v>
      </c>
      <c r="E11" s="4" t="s">
        <v>19</v>
      </c>
    </row>
    <row r="12" spans="1:9" x14ac:dyDescent="0.2">
      <c r="A12" s="5" t="s">
        <v>74</v>
      </c>
      <c r="B12" s="6">
        <v>1</v>
      </c>
      <c r="C12" s="7">
        <v>4</v>
      </c>
      <c r="D12" s="4">
        <f t="shared" si="0"/>
        <v>48</v>
      </c>
      <c r="E12" s="7" t="s">
        <v>63</v>
      </c>
    </row>
    <row r="13" spans="1:9" x14ac:dyDescent="0.2">
      <c r="A13" s="2" t="s">
        <v>75</v>
      </c>
      <c r="B13" s="3">
        <v>1</v>
      </c>
      <c r="C13" s="4">
        <v>3.5</v>
      </c>
      <c r="D13" s="4">
        <f t="shared" si="0"/>
        <v>42</v>
      </c>
      <c r="E13" s="4" t="s">
        <v>63</v>
      </c>
    </row>
    <row r="14" spans="1:9" x14ac:dyDescent="0.2">
      <c r="A14" s="5" t="s">
        <v>76</v>
      </c>
      <c r="B14" s="6">
        <v>1</v>
      </c>
      <c r="C14" s="7">
        <v>8</v>
      </c>
      <c r="D14" s="4">
        <f t="shared" si="0"/>
        <v>96</v>
      </c>
      <c r="E14" s="7" t="s">
        <v>63</v>
      </c>
    </row>
    <row r="15" spans="1:9" x14ac:dyDescent="0.2">
      <c r="A15" s="2" t="s">
        <v>77</v>
      </c>
      <c r="B15" s="3">
        <v>1</v>
      </c>
      <c r="C15" s="4">
        <v>4</v>
      </c>
      <c r="D15" s="4">
        <f t="shared" si="0"/>
        <v>48</v>
      </c>
      <c r="E15" s="4" t="s">
        <v>63</v>
      </c>
    </row>
    <row r="16" spans="1:9" x14ac:dyDescent="0.2">
      <c r="A16" s="5" t="s">
        <v>78</v>
      </c>
      <c r="B16" s="6">
        <v>5</v>
      </c>
      <c r="C16" s="7">
        <v>7</v>
      </c>
      <c r="D16" s="4">
        <f t="shared" si="0"/>
        <v>420</v>
      </c>
      <c r="E16" s="7" t="s">
        <v>63</v>
      </c>
    </row>
    <row r="17" spans="1:5" ht="17" thickBot="1" x14ac:dyDescent="0.25">
      <c r="A17" s="2" t="s">
        <v>79</v>
      </c>
      <c r="B17" s="3">
        <v>4</v>
      </c>
      <c r="C17" s="4">
        <v>2.5</v>
      </c>
      <c r="D17" s="4">
        <f t="shared" si="0"/>
        <v>120</v>
      </c>
      <c r="E17" s="4" t="s">
        <v>63</v>
      </c>
    </row>
    <row r="18" spans="1:5" ht="17" thickBot="1" x14ac:dyDescent="0.25">
      <c r="A18" s="8" t="s">
        <v>22</v>
      </c>
      <c r="B18" s="8">
        <f>SUM(B3:B17)</f>
        <v>23</v>
      </c>
      <c r="C18" s="9">
        <f>SUM(C3:C17)</f>
        <v>109.5</v>
      </c>
      <c r="D18" s="9">
        <f>SUM(D3:D17)</f>
        <v>1788</v>
      </c>
    </row>
    <row r="20" spans="1:5" x14ac:dyDescent="0.2">
      <c r="A20" s="1" t="s">
        <v>80</v>
      </c>
      <c r="B20" s="3">
        <v>4.5</v>
      </c>
    </row>
    <row r="22" spans="1:5" x14ac:dyDescent="0.2">
      <c r="A22" t="s">
        <v>81</v>
      </c>
    </row>
    <row r="24" spans="1:5" x14ac:dyDescent="0.2">
      <c r="A2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8FB3-B0AA-4047-8EFD-11093237ECF3}">
  <dimension ref="A4:K16"/>
  <sheetViews>
    <sheetView topLeftCell="A6" workbookViewId="0">
      <selection activeCell="B16" sqref="B16"/>
    </sheetView>
  </sheetViews>
  <sheetFormatPr baseColWidth="10" defaultColWidth="11" defaultRowHeight="16" x14ac:dyDescent="0.2"/>
  <cols>
    <col min="1" max="1" width="25.5" bestFit="1" customWidth="1"/>
    <col min="2" max="2" width="20.5" customWidth="1"/>
    <col min="3" max="11" width="17.6640625" bestFit="1" customWidth="1"/>
  </cols>
  <sheetData>
    <row r="4" spans="1:11" x14ac:dyDescent="0.2">
      <c r="A4" s="31" t="s">
        <v>83</v>
      </c>
      <c r="B4" s="10">
        <v>0.03</v>
      </c>
    </row>
    <row r="5" spans="1:11" x14ac:dyDescent="0.2">
      <c r="A5" s="31" t="s">
        <v>84</v>
      </c>
    </row>
    <row r="7" spans="1:11" x14ac:dyDescent="0.2">
      <c r="B7" s="31" t="s">
        <v>85</v>
      </c>
      <c r="C7" s="31" t="s">
        <v>86</v>
      </c>
      <c r="D7" s="31" t="s">
        <v>87</v>
      </c>
      <c r="E7" s="31" t="s">
        <v>88</v>
      </c>
      <c r="F7" s="31" t="s">
        <v>89</v>
      </c>
      <c r="G7" s="31" t="s">
        <v>90</v>
      </c>
      <c r="H7" s="31" t="s">
        <v>91</v>
      </c>
      <c r="I7" s="31" t="s">
        <v>92</v>
      </c>
      <c r="J7" s="31" t="s">
        <v>93</v>
      </c>
      <c r="K7" s="31" t="s">
        <v>94</v>
      </c>
    </row>
    <row r="8" spans="1:11" x14ac:dyDescent="0.2">
      <c r="A8" s="31" t="s">
        <v>95</v>
      </c>
      <c r="B8" s="31">
        <v>1</v>
      </c>
      <c r="C8" s="31">
        <v>2</v>
      </c>
      <c r="D8" s="31">
        <v>3</v>
      </c>
      <c r="E8" s="31">
        <v>4</v>
      </c>
      <c r="F8" s="31">
        <v>5</v>
      </c>
      <c r="G8" s="31">
        <v>6</v>
      </c>
      <c r="H8" s="31">
        <v>7</v>
      </c>
      <c r="I8" s="31">
        <v>8</v>
      </c>
      <c r="J8" s="31">
        <v>9</v>
      </c>
      <c r="K8" s="31">
        <v>10</v>
      </c>
    </row>
    <row r="9" spans="1:11" x14ac:dyDescent="0.2">
      <c r="A9" s="31" t="s">
        <v>96</v>
      </c>
      <c r="B9" s="96">
        <v>6.4000000000000001E-2</v>
      </c>
      <c r="C9" s="96">
        <v>3.7000000000000005E-2</v>
      </c>
      <c r="D9" s="96">
        <v>3.5250000000000004E-2</v>
      </c>
      <c r="E9" s="96">
        <v>3.3500000000000002E-2</v>
      </c>
      <c r="F9" s="96">
        <v>3.175E-2</v>
      </c>
      <c r="G9" s="96">
        <v>0.03</v>
      </c>
      <c r="H9" s="96">
        <v>3.7071067811865477E-2</v>
      </c>
      <c r="I9" s="96">
        <v>0.04</v>
      </c>
      <c r="J9" s="96">
        <v>3.7071067811865477E-2</v>
      </c>
      <c r="K9" s="96">
        <v>0.03</v>
      </c>
    </row>
    <row r="10" spans="1:11" x14ac:dyDescent="0.2">
      <c r="A10" s="31" t="s">
        <v>97</v>
      </c>
      <c r="B10" s="21">
        <f>Datos!C19*1000000</f>
        <v>2800000000</v>
      </c>
      <c r="C10" s="97">
        <f>B10*(1+B9)</f>
        <v>2979200000</v>
      </c>
      <c r="D10" s="97">
        <f t="shared" ref="D10:K10" si="0">C10*(1+C9)</f>
        <v>3089430400</v>
      </c>
      <c r="E10" s="97">
        <f t="shared" si="0"/>
        <v>3198332821.5999999</v>
      </c>
      <c r="F10" s="97">
        <f t="shared" si="0"/>
        <v>3305476971.1236</v>
      </c>
      <c r="G10" s="97">
        <f t="shared" si="0"/>
        <v>3410425864.9567742</v>
      </c>
      <c r="H10" s="97">
        <f t="shared" si="0"/>
        <v>3512738640.9054775</v>
      </c>
      <c r="I10" s="97">
        <f t="shared" si="0"/>
        <v>3642959613.2678447</v>
      </c>
      <c r="J10" s="97">
        <f t="shared" si="0"/>
        <v>3788677997.7985587</v>
      </c>
      <c r="K10" s="97">
        <f t="shared" si="0"/>
        <v>3929128336.7722721</v>
      </c>
    </row>
    <row r="11" spans="1:11" x14ac:dyDescent="0.2">
      <c r="B11" s="21">
        <f>B10*$B$4</f>
        <v>84000000</v>
      </c>
      <c r="C11" s="21">
        <f t="shared" ref="C11:K11" si="1">C10*$B$4</f>
        <v>89376000</v>
      </c>
      <c r="D11" s="21">
        <f t="shared" si="1"/>
        <v>92682912</v>
      </c>
      <c r="E11" s="21">
        <f t="shared" si="1"/>
        <v>95949984.647999987</v>
      </c>
      <c r="F11" s="21">
        <f t="shared" si="1"/>
        <v>99164309.133708</v>
      </c>
      <c r="G11" s="21">
        <f t="shared" si="1"/>
        <v>102312775.94870323</v>
      </c>
      <c r="H11" s="21">
        <f t="shared" si="1"/>
        <v>105382159.22716433</v>
      </c>
      <c r="I11" s="21">
        <f t="shared" si="1"/>
        <v>109288788.39803533</v>
      </c>
      <c r="J11" s="21">
        <f t="shared" si="1"/>
        <v>113660339.93395676</v>
      </c>
      <c r="K11" s="21">
        <f t="shared" si="1"/>
        <v>117873850.10316816</v>
      </c>
    </row>
    <row r="12" spans="1:11" x14ac:dyDescent="0.2">
      <c r="A12" s="31" t="s">
        <v>98</v>
      </c>
      <c r="B12" s="21">
        <f>B10-B11</f>
        <v>2716000000</v>
      </c>
      <c r="C12" s="21">
        <f t="shared" ref="C12:K12" si="2">C10-C11</f>
        <v>2889824000</v>
      </c>
      <c r="D12" s="21">
        <f t="shared" si="2"/>
        <v>2996747488</v>
      </c>
      <c r="E12" s="21">
        <f t="shared" si="2"/>
        <v>3102382836.9520001</v>
      </c>
      <c r="F12" s="21">
        <f t="shared" si="2"/>
        <v>3206312661.989892</v>
      </c>
      <c r="G12" s="21">
        <f t="shared" si="2"/>
        <v>3308113089.0080709</v>
      </c>
      <c r="H12" s="21">
        <f t="shared" si="2"/>
        <v>3407356481.6783133</v>
      </c>
      <c r="I12" s="21">
        <f t="shared" si="2"/>
        <v>3533670824.8698092</v>
      </c>
      <c r="J12" s="21">
        <f t="shared" si="2"/>
        <v>3675017657.8646021</v>
      </c>
      <c r="K12" s="21">
        <f t="shared" si="2"/>
        <v>3811254486.6691041</v>
      </c>
    </row>
    <row r="13" spans="1:11" x14ac:dyDescent="0.2">
      <c r="A13" s="31" t="s">
        <v>99</v>
      </c>
      <c r="B13">
        <f>1/(1+B9)^B8</f>
        <v>0.93984962406015038</v>
      </c>
      <c r="C13">
        <f>1/(1+C9)^C8</f>
        <v>0.92991335997225155</v>
      </c>
      <c r="D13">
        <f t="shared" ref="D13:K13" si="3">1/(1+D9)^D8</f>
        <v>0.9012894396101222</v>
      </c>
      <c r="E13">
        <f t="shared" si="3"/>
        <v>0.87651242365348059</v>
      </c>
      <c r="F13">
        <f t="shared" si="3"/>
        <v>0.85531800095521671</v>
      </c>
      <c r="G13">
        <f t="shared" si="3"/>
        <v>0.83748425668365445</v>
      </c>
      <c r="H13">
        <f t="shared" si="3"/>
        <v>0.77506900633738041</v>
      </c>
      <c r="I13">
        <f t="shared" si="3"/>
        <v>0.73069020500198378</v>
      </c>
      <c r="J13">
        <f t="shared" si="3"/>
        <v>0.72064824540008954</v>
      </c>
      <c r="K13">
        <f t="shared" si="3"/>
        <v>0.74409391489672516</v>
      </c>
    </row>
    <row r="14" spans="1:11" x14ac:dyDescent="0.2">
      <c r="A14" s="31" t="s">
        <v>100</v>
      </c>
      <c r="B14" s="21">
        <f>B12*B13</f>
        <v>2552631578.9473686</v>
      </c>
      <c r="C14" s="21">
        <f t="shared" ref="C14:K14" si="4">C12*C13</f>
        <v>2687285945.5684519</v>
      </c>
      <c r="D14" s="21">
        <f t="shared" si="4"/>
        <v>2700936864.1125612</v>
      </c>
      <c r="E14" s="21">
        <f t="shared" si="4"/>
        <v>2719277099.5177584</v>
      </c>
      <c r="F14" s="21">
        <f t="shared" si="4"/>
        <v>2742416936.4905939</v>
      </c>
      <c r="G14" s="21">
        <f t="shared" si="4"/>
        <v>2770492631.3733921</v>
      </c>
      <c r="H14" s="21">
        <f t="shared" si="4"/>
        <v>2640936402.491643</v>
      </c>
      <c r="I14" s="21">
        <f t="shared" si="4"/>
        <v>2582018659.43365</v>
      </c>
      <c r="J14" s="21">
        <f t="shared" si="4"/>
        <v>2648395026.9544721</v>
      </c>
      <c r="K14" s="21">
        <f t="shared" si="4"/>
        <v>2835931271.6533222</v>
      </c>
    </row>
    <row r="16" spans="1:11" x14ac:dyDescent="0.2">
      <c r="A16" s="31" t="s">
        <v>101</v>
      </c>
      <c r="B16" s="154">
        <f>SUM(B14:K14)</f>
        <v>26880322416.543213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F8C5-3C10-1D4D-9A7B-E47831434699}">
  <dimension ref="B2:D6"/>
  <sheetViews>
    <sheetView workbookViewId="0">
      <selection activeCell="C6" sqref="C6"/>
    </sheetView>
  </sheetViews>
  <sheetFormatPr baseColWidth="10" defaultColWidth="11" defaultRowHeight="16" x14ac:dyDescent="0.2"/>
  <cols>
    <col min="2" max="2" width="22.5" customWidth="1"/>
    <col min="3" max="3" width="18.5" customWidth="1"/>
    <col min="4" max="4" width="15.1640625" customWidth="1"/>
  </cols>
  <sheetData>
    <row r="2" spans="2:4" x14ac:dyDescent="0.2">
      <c r="B2" t="s">
        <v>102</v>
      </c>
      <c r="C2">
        <v>5000</v>
      </c>
      <c r="D2" t="s">
        <v>103</v>
      </c>
    </row>
    <row r="3" spans="2:4" x14ac:dyDescent="0.2">
      <c r="B3" t="s">
        <v>104</v>
      </c>
      <c r="C3">
        <v>2500</v>
      </c>
      <c r="D3" t="s">
        <v>103</v>
      </c>
    </row>
    <row r="4" spans="2:4" x14ac:dyDescent="0.2">
      <c r="B4" t="s">
        <v>105</v>
      </c>
      <c r="C4">
        <v>420</v>
      </c>
      <c r="D4" t="s">
        <v>103</v>
      </c>
    </row>
    <row r="6" spans="2:4" x14ac:dyDescent="0.2">
      <c r="B6" t="s">
        <v>22</v>
      </c>
      <c r="C6">
        <f>SUM(C2:C4)</f>
        <v>7920</v>
      </c>
      <c r="D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0208-3971-42E1-858D-74A80007E1F2}">
  <dimension ref="A2:O92"/>
  <sheetViews>
    <sheetView topLeftCell="A32" workbookViewId="0">
      <selection activeCell="E5" sqref="E5"/>
    </sheetView>
  </sheetViews>
  <sheetFormatPr baseColWidth="10" defaultColWidth="11" defaultRowHeight="16" x14ac:dyDescent="0.2"/>
  <cols>
    <col min="1" max="1" width="29.1640625" customWidth="1"/>
    <col min="2" max="2" width="16.6640625" customWidth="1"/>
    <col min="3" max="3" width="21.1640625" customWidth="1"/>
    <col min="4" max="4" width="30.1640625" customWidth="1"/>
    <col min="5" max="5" width="16.1640625" customWidth="1"/>
    <col min="6" max="6" width="15.5" customWidth="1"/>
    <col min="7" max="7" width="16" bestFit="1" customWidth="1"/>
    <col min="11" max="11" width="16.6640625" bestFit="1" customWidth="1"/>
    <col min="12" max="14" width="15.6640625" customWidth="1"/>
    <col min="15" max="15" width="16.6640625" bestFit="1" customWidth="1"/>
  </cols>
  <sheetData>
    <row r="2" spans="1:9" x14ac:dyDescent="0.2">
      <c r="E2" t="s">
        <v>106</v>
      </c>
      <c r="F2" t="s">
        <v>107</v>
      </c>
    </row>
    <row r="3" spans="1:9" x14ac:dyDescent="0.2">
      <c r="A3" t="s">
        <v>108</v>
      </c>
      <c r="D3" t="s">
        <v>109</v>
      </c>
      <c r="E3" s="41">
        <v>8.48E-2</v>
      </c>
      <c r="F3" s="60" t="s">
        <v>110</v>
      </c>
      <c r="G3" s="12"/>
    </row>
    <row r="4" spans="1:9" x14ac:dyDescent="0.2">
      <c r="A4" t="s">
        <v>111</v>
      </c>
      <c r="D4" t="s">
        <v>112</v>
      </c>
      <c r="E4" s="41">
        <v>0.1898</v>
      </c>
      <c r="F4" s="42"/>
      <c r="G4" s="42"/>
      <c r="H4" s="42"/>
      <c r="I4" s="42"/>
    </row>
    <row r="5" spans="1:9" x14ac:dyDescent="0.2">
      <c r="A5" t="s">
        <v>113</v>
      </c>
      <c r="D5" t="s">
        <v>114</v>
      </c>
      <c r="E5" s="41">
        <v>4.7500000000000001E-2</v>
      </c>
      <c r="F5" s="42"/>
      <c r="G5" s="42"/>
      <c r="H5" s="42"/>
      <c r="I5" s="42"/>
    </row>
    <row r="6" spans="1:9" x14ac:dyDescent="0.2">
      <c r="A6" t="s">
        <v>115</v>
      </c>
      <c r="D6" t="s">
        <v>116</v>
      </c>
      <c r="E6" s="41">
        <v>4.9799999999999997E-2</v>
      </c>
      <c r="F6" s="42"/>
      <c r="G6" s="42"/>
      <c r="H6" s="42"/>
      <c r="I6" s="42"/>
    </row>
    <row r="7" spans="1:9" x14ac:dyDescent="0.2">
      <c r="A7" t="s">
        <v>117</v>
      </c>
      <c r="D7" t="s">
        <v>118</v>
      </c>
      <c r="E7" s="41">
        <v>0.1993</v>
      </c>
      <c r="F7" s="42"/>
      <c r="G7" s="42"/>
      <c r="H7" s="42"/>
      <c r="I7" s="42"/>
    </row>
    <row r="8" spans="1:9" x14ac:dyDescent="0.2">
      <c r="A8" t="s">
        <v>119</v>
      </c>
      <c r="D8" t="s">
        <v>120</v>
      </c>
      <c r="E8" s="41">
        <v>0.2147</v>
      </c>
      <c r="F8" s="42"/>
      <c r="G8" s="42"/>
      <c r="H8" s="42"/>
      <c r="I8" s="42"/>
    </row>
    <row r="9" spans="1:9" x14ac:dyDescent="0.2">
      <c r="A9" t="s">
        <v>121</v>
      </c>
    </row>
    <row r="10" spans="1:9" x14ac:dyDescent="0.2">
      <c r="A10" t="s">
        <v>122</v>
      </c>
    </row>
    <row r="12" spans="1:9" x14ac:dyDescent="0.2">
      <c r="A12" t="s">
        <v>123</v>
      </c>
      <c r="E12" t="s">
        <v>106</v>
      </c>
      <c r="F12" t="s">
        <v>107</v>
      </c>
    </row>
    <row r="13" spans="1:9" x14ac:dyDescent="0.2">
      <c r="A13" t="s">
        <v>111</v>
      </c>
      <c r="D13" t="s">
        <v>124</v>
      </c>
      <c r="E13" s="58">
        <v>0.10516</v>
      </c>
      <c r="F13" t="s">
        <v>125</v>
      </c>
    </row>
    <row r="14" spans="1:9" x14ac:dyDescent="0.2">
      <c r="A14" t="s">
        <v>126</v>
      </c>
      <c r="D14" t="s">
        <v>127</v>
      </c>
      <c r="E14" s="59">
        <f>+E13+10.5%</f>
        <v>0.21016000000000001</v>
      </c>
    </row>
    <row r="15" spans="1:9" x14ac:dyDescent="0.2">
      <c r="A15" t="s">
        <v>128</v>
      </c>
      <c r="D15" t="s">
        <v>116</v>
      </c>
      <c r="E15" s="59">
        <f>+E14/4</f>
        <v>5.2540000000000003E-2</v>
      </c>
    </row>
    <row r="16" spans="1:9" x14ac:dyDescent="0.2">
      <c r="A16" t="s">
        <v>129</v>
      </c>
      <c r="D16" t="s">
        <v>118</v>
      </c>
      <c r="E16" s="59">
        <f>+E13+10.5%</f>
        <v>0.21016000000000001</v>
      </c>
    </row>
    <row r="17" spans="1:5" x14ac:dyDescent="0.2">
      <c r="A17" t="s">
        <v>130</v>
      </c>
      <c r="D17" t="s">
        <v>120</v>
      </c>
      <c r="E17" s="12">
        <f>(1+E15)^4-1</f>
        <v>0.22731046620129192</v>
      </c>
    </row>
    <row r="19" spans="1:5" x14ac:dyDescent="0.2">
      <c r="A19" t="s">
        <v>131</v>
      </c>
    </row>
    <row r="20" spans="1:5" x14ac:dyDescent="0.2">
      <c r="A20" t="s">
        <v>111</v>
      </c>
    </row>
    <row r="21" spans="1:5" x14ac:dyDescent="0.2">
      <c r="A21" t="s">
        <v>132</v>
      </c>
    </row>
    <row r="22" spans="1:5" x14ac:dyDescent="0.2">
      <c r="A22" t="s">
        <v>133</v>
      </c>
    </row>
    <row r="23" spans="1:5" x14ac:dyDescent="0.2">
      <c r="A23" t="s">
        <v>134</v>
      </c>
    </row>
    <row r="24" spans="1:5" x14ac:dyDescent="0.2">
      <c r="A24" t="s">
        <v>135</v>
      </c>
    </row>
    <row r="26" spans="1:5" ht="17" thickBot="1" x14ac:dyDescent="0.25">
      <c r="A26" s="159" t="s">
        <v>136</v>
      </c>
      <c r="B26" s="159"/>
    </row>
    <row r="27" spans="1:5" x14ac:dyDescent="0.2">
      <c r="A27" s="43" t="s">
        <v>137</v>
      </c>
      <c r="B27" s="44" t="s">
        <v>138</v>
      </c>
    </row>
    <row r="28" spans="1:5" x14ac:dyDescent="0.2">
      <c r="A28" s="45" t="s">
        <v>139</v>
      </c>
      <c r="B28" s="46">
        <f>+Datos!C10+Datos!C15</f>
        <v>21920</v>
      </c>
    </row>
    <row r="29" spans="1:5" x14ac:dyDescent="0.2">
      <c r="A29" s="45" t="s">
        <v>140</v>
      </c>
      <c r="B29" s="47">
        <v>0.1</v>
      </c>
    </row>
    <row r="30" spans="1:5" ht="17" thickBot="1" x14ac:dyDescent="0.25">
      <c r="A30" s="48" t="s">
        <v>141</v>
      </c>
      <c r="B30" s="49">
        <f>+B28*B29</f>
        <v>2192</v>
      </c>
    </row>
    <row r="31" spans="1:5" ht="17" thickBot="1" x14ac:dyDescent="0.25"/>
    <row r="32" spans="1:5" ht="17" thickBot="1" x14ac:dyDescent="0.25">
      <c r="A32" s="50" t="s">
        <v>137</v>
      </c>
      <c r="B32" s="51" t="s">
        <v>142</v>
      </c>
      <c r="C32" s="51" t="s">
        <v>143</v>
      </c>
      <c r="D32" s="52" t="s">
        <v>144</v>
      </c>
    </row>
    <row r="33" spans="1:15" x14ac:dyDescent="0.2">
      <c r="A33" s="45" t="s">
        <v>145</v>
      </c>
      <c r="B33">
        <v>10</v>
      </c>
      <c r="C33">
        <v>10</v>
      </c>
      <c r="D33" s="53">
        <v>10</v>
      </c>
    </row>
    <row r="34" spans="1:15" x14ac:dyDescent="0.2">
      <c r="A34" s="45" t="s">
        <v>146</v>
      </c>
      <c r="B34" t="s">
        <v>147</v>
      </c>
      <c r="C34" t="s">
        <v>148</v>
      </c>
      <c r="D34" s="53" t="s">
        <v>149</v>
      </c>
    </row>
    <row r="35" spans="1:15" x14ac:dyDescent="0.2">
      <c r="A35" s="45" t="s">
        <v>150</v>
      </c>
      <c r="B35" s="41">
        <f>+E8</f>
        <v>0.2147</v>
      </c>
      <c r="C35" s="41">
        <f>+E17</f>
        <v>0.22731046620129192</v>
      </c>
      <c r="D35" s="53" t="s">
        <v>151</v>
      </c>
    </row>
    <row r="36" spans="1:15" x14ac:dyDescent="0.2">
      <c r="A36" s="45" t="s">
        <v>152</v>
      </c>
      <c r="B36" t="s">
        <v>153</v>
      </c>
      <c r="C36" t="s">
        <v>153</v>
      </c>
      <c r="D36" s="53" t="s">
        <v>154</v>
      </c>
    </row>
    <row r="37" spans="1:15" x14ac:dyDescent="0.2">
      <c r="A37" s="45" t="s">
        <v>155</v>
      </c>
      <c r="B37" t="s">
        <v>156</v>
      </c>
      <c r="C37" t="s">
        <v>157</v>
      </c>
      <c r="D37" s="53" t="s">
        <v>158</v>
      </c>
    </row>
    <row r="38" spans="1:15" x14ac:dyDescent="0.2">
      <c r="A38" s="45" t="s">
        <v>159</v>
      </c>
      <c r="B38" t="s">
        <v>117</v>
      </c>
      <c r="C38" t="s">
        <v>160</v>
      </c>
      <c r="D38" s="53" t="s">
        <v>161</v>
      </c>
    </row>
    <row r="39" spans="1:15" x14ac:dyDescent="0.2">
      <c r="A39" s="45" t="s">
        <v>162</v>
      </c>
      <c r="B39" s="36">
        <v>0.06</v>
      </c>
      <c r="C39" t="s">
        <v>163</v>
      </c>
      <c r="D39" s="47">
        <v>0.25</v>
      </c>
    </row>
    <row r="40" spans="1:15" x14ac:dyDescent="0.2">
      <c r="A40" s="45" t="s">
        <v>164</v>
      </c>
      <c r="D40" s="53"/>
    </row>
    <row r="41" spans="1:15" x14ac:dyDescent="0.2">
      <c r="A41" s="45" t="s">
        <v>165</v>
      </c>
      <c r="D41" s="53"/>
    </row>
    <row r="42" spans="1:15" ht="17" thickBot="1" x14ac:dyDescent="0.25">
      <c r="A42" s="48" t="s">
        <v>166</v>
      </c>
      <c r="B42" s="54"/>
      <c r="C42" s="54"/>
      <c r="D42" s="55"/>
    </row>
    <row r="44" spans="1:15" x14ac:dyDescent="0.2">
      <c r="A44" s="160" t="s">
        <v>167</v>
      </c>
      <c r="B44" s="160"/>
      <c r="C44" s="160"/>
      <c r="D44" s="160"/>
      <c r="E44" s="160"/>
      <c r="F44" s="160"/>
      <c r="G44" s="160"/>
      <c r="I44" s="161"/>
      <c r="J44" s="161"/>
      <c r="K44" s="161"/>
      <c r="L44" s="161"/>
      <c r="M44" s="161"/>
      <c r="N44" s="161"/>
      <c r="O44" s="161"/>
    </row>
    <row r="45" spans="1:15" x14ac:dyDescent="0.2">
      <c r="A45" t="s">
        <v>168</v>
      </c>
      <c r="B45" t="s">
        <v>169</v>
      </c>
      <c r="C45" t="s">
        <v>170</v>
      </c>
      <c r="D45" t="s">
        <v>171</v>
      </c>
      <c r="E45" t="s">
        <v>172</v>
      </c>
      <c r="F45" t="s">
        <v>173</v>
      </c>
      <c r="G45" t="s">
        <v>174</v>
      </c>
    </row>
    <row r="46" spans="1:15" x14ac:dyDescent="0.2">
      <c r="A46">
        <v>0</v>
      </c>
      <c r="B46" s="56">
        <v>46023</v>
      </c>
      <c r="C46" s="42">
        <f>+B30</f>
        <v>2192</v>
      </c>
      <c r="D46" s="42"/>
      <c r="E46" s="57">
        <f>+IF(OR(A46=8,A46=12,A46=16,A46=20,A46=24,A46=28,A46=32,A46=36),14000000,IF(A46=40,14000000,0))</f>
        <v>0</v>
      </c>
      <c r="F46" s="57">
        <f>+D46+E46</f>
        <v>0</v>
      </c>
      <c r="G46" s="42">
        <f>+C46</f>
        <v>2192</v>
      </c>
      <c r="H46" s="57"/>
      <c r="J46" s="56"/>
      <c r="K46" s="57"/>
      <c r="L46" s="57"/>
      <c r="M46" s="57"/>
      <c r="N46" s="57"/>
      <c r="O46" s="57"/>
    </row>
    <row r="47" spans="1:15" x14ac:dyDescent="0.2">
      <c r="A47">
        <v>1</v>
      </c>
      <c r="B47" s="56">
        <f t="shared" ref="B47:B86" si="0">EDATE(B46,3)</f>
        <v>46113</v>
      </c>
      <c r="C47" s="42"/>
      <c r="D47" s="42"/>
      <c r="E47" s="57"/>
      <c r="F47" s="57"/>
      <c r="G47" s="42">
        <f t="shared" ref="G47:G86" si="1">+C47-E47</f>
        <v>0</v>
      </c>
      <c r="H47" s="57"/>
      <c r="J47" s="56"/>
      <c r="K47" s="57"/>
      <c r="L47" s="57"/>
      <c r="M47" s="57"/>
      <c r="N47" s="57"/>
      <c r="O47" s="57"/>
    </row>
    <row r="48" spans="1:15" x14ac:dyDescent="0.2">
      <c r="A48">
        <v>2</v>
      </c>
      <c r="B48" s="56">
        <f t="shared" si="0"/>
        <v>46204</v>
      </c>
      <c r="C48" s="42"/>
      <c r="D48" s="42"/>
      <c r="E48" s="57"/>
      <c r="F48" s="57"/>
      <c r="G48" s="42">
        <f t="shared" si="1"/>
        <v>0</v>
      </c>
      <c r="H48" s="57"/>
      <c r="J48" s="56"/>
      <c r="K48" s="57"/>
      <c r="L48" s="57"/>
      <c r="M48" s="57"/>
      <c r="N48" s="57"/>
      <c r="O48" s="57"/>
    </row>
    <row r="49" spans="1:15" x14ac:dyDescent="0.2">
      <c r="A49">
        <v>3</v>
      </c>
      <c r="B49" s="56">
        <f t="shared" si="0"/>
        <v>46296</v>
      </c>
      <c r="C49" s="42"/>
      <c r="D49" s="42"/>
      <c r="E49" s="57"/>
      <c r="F49" s="57"/>
      <c r="G49" s="42">
        <f t="shared" si="1"/>
        <v>0</v>
      </c>
      <c r="H49" s="57"/>
      <c r="J49" s="56"/>
      <c r="K49" s="57"/>
      <c r="L49" s="57"/>
      <c r="M49" s="57"/>
      <c r="N49" s="57"/>
      <c r="O49" s="57"/>
    </row>
    <row r="50" spans="1:15" x14ac:dyDescent="0.2">
      <c r="A50">
        <v>4</v>
      </c>
      <c r="B50" s="56">
        <f t="shared" si="0"/>
        <v>46388</v>
      </c>
      <c r="C50" s="42"/>
      <c r="D50" s="42"/>
      <c r="E50" s="57"/>
      <c r="F50" s="57"/>
      <c r="G50" s="42">
        <f t="shared" si="1"/>
        <v>0</v>
      </c>
      <c r="J50" s="56"/>
      <c r="K50" s="57"/>
      <c r="L50" s="57"/>
      <c r="M50" s="57"/>
      <c r="N50" s="57"/>
      <c r="O50" s="57"/>
    </row>
    <row r="51" spans="1:15" x14ac:dyDescent="0.2">
      <c r="A51">
        <v>5</v>
      </c>
      <c r="B51" s="56">
        <f t="shared" si="0"/>
        <v>46478</v>
      </c>
      <c r="C51" s="42"/>
      <c r="D51" s="42"/>
      <c r="E51" s="57"/>
      <c r="F51" s="57"/>
      <c r="G51" s="42">
        <f t="shared" si="1"/>
        <v>0</v>
      </c>
      <c r="J51" s="56"/>
      <c r="K51" s="57"/>
      <c r="L51" s="57"/>
      <c r="M51" s="57"/>
      <c r="N51" s="57"/>
      <c r="O51" s="57"/>
    </row>
    <row r="52" spans="1:15" x14ac:dyDescent="0.2">
      <c r="A52">
        <v>6</v>
      </c>
      <c r="B52" s="56">
        <f t="shared" si="0"/>
        <v>46569</v>
      </c>
      <c r="C52" s="42"/>
      <c r="D52" s="42"/>
      <c r="E52" s="57"/>
      <c r="F52" s="57"/>
      <c r="G52" s="42">
        <f t="shared" si="1"/>
        <v>0</v>
      </c>
      <c r="J52" s="56"/>
      <c r="K52" s="57"/>
      <c r="L52" s="57"/>
      <c r="M52" s="57"/>
      <c r="N52" s="57"/>
      <c r="O52" s="57"/>
    </row>
    <row r="53" spans="1:15" x14ac:dyDescent="0.2">
      <c r="A53">
        <v>7</v>
      </c>
      <c r="B53" s="56">
        <f t="shared" si="0"/>
        <v>46661</v>
      </c>
      <c r="C53" s="42"/>
      <c r="D53" s="42"/>
      <c r="E53" s="57"/>
      <c r="F53" s="57"/>
      <c r="G53" s="42">
        <f t="shared" si="1"/>
        <v>0</v>
      </c>
      <c r="J53" s="56"/>
      <c r="K53" s="57"/>
      <c r="L53" s="57"/>
      <c r="M53" s="57"/>
      <c r="N53" s="57"/>
      <c r="O53" s="57"/>
    </row>
    <row r="54" spans="1:15" x14ac:dyDescent="0.2">
      <c r="A54">
        <v>8</v>
      </c>
      <c r="B54" s="56">
        <f t="shared" si="0"/>
        <v>46753</v>
      </c>
      <c r="C54" s="42"/>
      <c r="D54" s="42"/>
      <c r="E54" s="57"/>
      <c r="F54" s="57"/>
      <c r="G54" s="42">
        <f t="shared" si="1"/>
        <v>0</v>
      </c>
      <c r="J54" s="56"/>
      <c r="K54" s="57"/>
      <c r="L54" s="57"/>
      <c r="M54" s="57"/>
      <c r="N54" s="57"/>
      <c r="O54" s="57"/>
    </row>
    <row r="55" spans="1:15" x14ac:dyDescent="0.2">
      <c r="A55">
        <v>9</v>
      </c>
      <c r="B55" s="56">
        <f t="shared" si="0"/>
        <v>46844</v>
      </c>
      <c r="C55" s="42"/>
      <c r="D55" s="42"/>
      <c r="E55" s="57"/>
      <c r="F55" s="57"/>
      <c r="G55" s="42">
        <f t="shared" si="1"/>
        <v>0</v>
      </c>
      <c r="J55" s="56"/>
      <c r="K55" s="57"/>
      <c r="L55" s="57"/>
      <c r="M55" s="57"/>
      <c r="N55" s="57"/>
      <c r="O55" s="57"/>
    </row>
    <row r="56" spans="1:15" x14ac:dyDescent="0.2">
      <c r="A56">
        <v>10</v>
      </c>
      <c r="B56" s="56">
        <f t="shared" si="0"/>
        <v>46935</v>
      </c>
      <c r="C56" s="42"/>
      <c r="D56" s="42"/>
      <c r="E56" s="57"/>
      <c r="F56" s="57"/>
      <c r="G56" s="42">
        <f t="shared" si="1"/>
        <v>0</v>
      </c>
      <c r="J56" s="56"/>
      <c r="K56" s="57"/>
      <c r="L56" s="57"/>
      <c r="M56" s="57"/>
      <c r="N56" s="57"/>
      <c r="O56" s="57"/>
    </row>
    <row r="57" spans="1:15" x14ac:dyDescent="0.2">
      <c r="A57">
        <v>11</v>
      </c>
      <c r="B57" s="56">
        <f t="shared" si="0"/>
        <v>47027</v>
      </c>
      <c r="C57" s="42"/>
      <c r="D57" s="42"/>
      <c r="E57" s="57"/>
      <c r="F57" s="57"/>
      <c r="G57" s="42">
        <f t="shared" si="1"/>
        <v>0</v>
      </c>
      <c r="J57" s="56"/>
      <c r="K57" s="57"/>
      <c r="L57" s="57"/>
      <c r="M57" s="57"/>
      <c r="N57" s="57"/>
      <c r="O57" s="57"/>
    </row>
    <row r="58" spans="1:15" x14ac:dyDescent="0.2">
      <c r="A58">
        <v>12</v>
      </c>
      <c r="B58" s="56">
        <f t="shared" si="0"/>
        <v>47119</v>
      </c>
      <c r="C58" s="42"/>
      <c r="D58" s="42"/>
      <c r="E58" s="57"/>
      <c r="F58" s="57"/>
      <c r="G58" s="42">
        <f t="shared" si="1"/>
        <v>0</v>
      </c>
      <c r="J58" s="56"/>
      <c r="K58" s="57"/>
      <c r="L58" s="57"/>
      <c r="M58" s="57"/>
      <c r="N58" s="57"/>
      <c r="O58" s="57"/>
    </row>
    <row r="59" spans="1:15" x14ac:dyDescent="0.2">
      <c r="A59">
        <v>13</v>
      </c>
      <c r="B59" s="56">
        <f t="shared" si="0"/>
        <v>47209</v>
      </c>
      <c r="C59" s="42"/>
      <c r="D59" s="42"/>
      <c r="E59" s="57"/>
      <c r="F59" s="57"/>
      <c r="G59" s="42">
        <f t="shared" si="1"/>
        <v>0</v>
      </c>
      <c r="J59" s="56"/>
      <c r="K59" s="57"/>
      <c r="L59" s="57"/>
      <c r="M59" s="57"/>
      <c r="N59" s="57"/>
      <c r="O59" s="57"/>
    </row>
    <row r="60" spans="1:15" x14ac:dyDescent="0.2">
      <c r="A60">
        <v>14</v>
      </c>
      <c r="B60" s="56">
        <f t="shared" si="0"/>
        <v>47300</v>
      </c>
      <c r="C60" s="42"/>
      <c r="D60" s="42"/>
      <c r="E60" s="57"/>
      <c r="F60" s="57"/>
      <c r="G60" s="42">
        <f t="shared" si="1"/>
        <v>0</v>
      </c>
      <c r="J60" s="56"/>
      <c r="K60" s="57"/>
      <c r="L60" s="57"/>
      <c r="M60" s="57"/>
      <c r="N60" s="57"/>
      <c r="O60" s="57"/>
    </row>
    <row r="61" spans="1:15" x14ac:dyDescent="0.2">
      <c r="A61">
        <v>15</v>
      </c>
      <c r="B61" s="56">
        <f t="shared" si="0"/>
        <v>47392</v>
      </c>
      <c r="C61" s="42"/>
      <c r="D61" s="42"/>
      <c r="E61" s="57"/>
      <c r="F61" s="57"/>
      <c r="G61" s="42">
        <f t="shared" si="1"/>
        <v>0</v>
      </c>
      <c r="J61" s="56"/>
      <c r="K61" s="57"/>
      <c r="L61" s="57"/>
      <c r="M61" s="57"/>
      <c r="N61" s="57"/>
      <c r="O61" s="57"/>
    </row>
    <row r="62" spans="1:15" x14ac:dyDescent="0.2">
      <c r="A62">
        <v>16</v>
      </c>
      <c r="B62" s="56">
        <f t="shared" si="0"/>
        <v>47484</v>
      </c>
      <c r="C62" s="42"/>
      <c r="D62" s="42"/>
      <c r="E62" s="57"/>
      <c r="F62" s="57"/>
      <c r="G62" s="42">
        <f t="shared" si="1"/>
        <v>0</v>
      </c>
      <c r="J62" s="56"/>
      <c r="K62" s="57"/>
      <c r="L62" s="57"/>
      <c r="M62" s="57"/>
      <c r="N62" s="57"/>
      <c r="O62" s="57"/>
    </row>
    <row r="63" spans="1:15" x14ac:dyDescent="0.2">
      <c r="A63">
        <v>17</v>
      </c>
      <c r="B63" s="56">
        <f t="shared" si="0"/>
        <v>47574</v>
      </c>
      <c r="C63" s="42"/>
      <c r="D63" s="42"/>
      <c r="E63" s="57"/>
      <c r="F63" s="57"/>
      <c r="G63" s="42">
        <f t="shared" si="1"/>
        <v>0</v>
      </c>
      <c r="J63" s="56"/>
      <c r="K63" s="57"/>
      <c r="L63" s="57"/>
      <c r="M63" s="57"/>
      <c r="N63" s="57"/>
      <c r="O63" s="57"/>
    </row>
    <row r="64" spans="1:15" x14ac:dyDescent="0.2">
      <c r="A64">
        <v>18</v>
      </c>
      <c r="B64" s="56">
        <f t="shared" si="0"/>
        <v>47665</v>
      </c>
      <c r="C64" s="42"/>
      <c r="D64" s="42"/>
      <c r="E64" s="57"/>
      <c r="F64" s="57"/>
      <c r="G64" s="42">
        <f t="shared" si="1"/>
        <v>0</v>
      </c>
      <c r="J64" s="56"/>
      <c r="K64" s="57"/>
      <c r="L64" s="57"/>
      <c r="M64" s="57"/>
      <c r="N64" s="57"/>
      <c r="O64" s="57"/>
    </row>
    <row r="65" spans="1:15" x14ac:dyDescent="0.2">
      <c r="A65">
        <v>19</v>
      </c>
      <c r="B65" s="56">
        <f t="shared" si="0"/>
        <v>47757</v>
      </c>
      <c r="C65" s="42"/>
      <c r="D65" s="42"/>
      <c r="E65" s="57"/>
      <c r="F65" s="57"/>
      <c r="G65" s="42">
        <f t="shared" si="1"/>
        <v>0</v>
      </c>
      <c r="J65" s="56"/>
      <c r="K65" s="57"/>
      <c r="L65" s="57"/>
      <c r="M65" s="57"/>
      <c r="N65" s="57"/>
      <c r="O65" s="57"/>
    </row>
    <row r="66" spans="1:15" x14ac:dyDescent="0.2">
      <c r="A66">
        <v>20</v>
      </c>
      <c r="B66" s="56">
        <f t="shared" si="0"/>
        <v>47849</v>
      </c>
      <c r="C66" s="42"/>
      <c r="D66" s="42"/>
      <c r="E66" s="57"/>
      <c r="F66" s="57"/>
      <c r="G66" s="42">
        <f t="shared" si="1"/>
        <v>0</v>
      </c>
      <c r="J66" s="56"/>
      <c r="K66" s="57"/>
      <c r="L66" s="57"/>
      <c r="M66" s="57"/>
      <c r="N66" s="57"/>
      <c r="O66" s="57"/>
    </row>
    <row r="67" spans="1:15" x14ac:dyDescent="0.2">
      <c r="A67">
        <v>21</v>
      </c>
      <c r="B67" s="56">
        <f t="shared" si="0"/>
        <v>47939</v>
      </c>
      <c r="C67" s="42"/>
      <c r="D67" s="42"/>
      <c r="E67" s="57"/>
      <c r="F67" s="57"/>
      <c r="G67" s="42">
        <f t="shared" si="1"/>
        <v>0</v>
      </c>
      <c r="J67" s="56"/>
      <c r="K67" s="57"/>
      <c r="L67" s="57"/>
      <c r="M67" s="57"/>
      <c r="N67" s="57"/>
      <c r="O67" s="57"/>
    </row>
    <row r="68" spans="1:15" x14ac:dyDescent="0.2">
      <c r="A68">
        <v>22</v>
      </c>
      <c r="B68" s="56">
        <f t="shared" si="0"/>
        <v>48030</v>
      </c>
      <c r="C68" s="42"/>
      <c r="D68" s="42"/>
      <c r="E68" s="57"/>
      <c r="F68" s="57"/>
      <c r="G68" s="42">
        <f t="shared" si="1"/>
        <v>0</v>
      </c>
      <c r="J68" s="56"/>
      <c r="K68" s="57"/>
      <c r="L68" s="57"/>
      <c r="M68" s="57"/>
      <c r="N68" s="57"/>
      <c r="O68" s="57"/>
    </row>
    <row r="69" spans="1:15" x14ac:dyDescent="0.2">
      <c r="A69">
        <v>23</v>
      </c>
      <c r="B69" s="56">
        <f t="shared" si="0"/>
        <v>48122</v>
      </c>
      <c r="C69" s="42"/>
      <c r="D69" s="42"/>
      <c r="E69" s="57"/>
      <c r="F69" s="57"/>
      <c r="G69" s="42">
        <f t="shared" si="1"/>
        <v>0</v>
      </c>
      <c r="J69" s="56"/>
      <c r="K69" s="57"/>
      <c r="L69" s="57"/>
      <c r="M69" s="57"/>
      <c r="N69" s="57"/>
      <c r="O69" s="57"/>
    </row>
    <row r="70" spans="1:15" x14ac:dyDescent="0.2">
      <c r="A70">
        <v>24</v>
      </c>
      <c r="B70" s="56">
        <f t="shared" si="0"/>
        <v>48214</v>
      </c>
      <c r="C70" s="42"/>
      <c r="D70" s="42"/>
      <c r="E70" s="57"/>
      <c r="F70" s="57"/>
      <c r="G70" s="42">
        <f t="shared" si="1"/>
        <v>0</v>
      </c>
      <c r="J70" s="56"/>
      <c r="K70" s="57"/>
      <c r="L70" s="57"/>
      <c r="M70" s="57"/>
      <c r="N70" s="57"/>
      <c r="O70" s="57"/>
    </row>
    <row r="71" spans="1:15" x14ac:dyDescent="0.2">
      <c r="A71">
        <v>25</v>
      </c>
      <c r="B71" s="56">
        <f t="shared" si="0"/>
        <v>48305</v>
      </c>
      <c r="C71" s="42"/>
      <c r="D71" s="42"/>
      <c r="E71" s="57"/>
      <c r="F71" s="57"/>
      <c r="G71" s="42">
        <f t="shared" si="1"/>
        <v>0</v>
      </c>
      <c r="J71" s="56"/>
      <c r="K71" s="57"/>
      <c r="L71" s="57"/>
      <c r="M71" s="57"/>
      <c r="N71" s="57"/>
      <c r="O71" s="57"/>
    </row>
    <row r="72" spans="1:15" x14ac:dyDescent="0.2">
      <c r="A72">
        <v>26</v>
      </c>
      <c r="B72" s="56">
        <f t="shared" si="0"/>
        <v>48396</v>
      </c>
      <c r="C72" s="42"/>
      <c r="D72" s="42"/>
      <c r="E72" s="57"/>
      <c r="F72" s="57"/>
      <c r="G72" s="42">
        <f t="shared" si="1"/>
        <v>0</v>
      </c>
      <c r="J72" s="56"/>
      <c r="K72" s="57"/>
      <c r="L72" s="57"/>
      <c r="M72" s="57"/>
      <c r="N72" s="57"/>
      <c r="O72" s="57"/>
    </row>
    <row r="73" spans="1:15" x14ac:dyDescent="0.2">
      <c r="A73">
        <v>27</v>
      </c>
      <c r="B73" s="56">
        <f t="shared" si="0"/>
        <v>48488</v>
      </c>
      <c r="C73" s="42"/>
      <c r="D73" s="42"/>
      <c r="E73" s="57"/>
      <c r="F73" s="57"/>
      <c r="G73" s="42">
        <f t="shared" si="1"/>
        <v>0</v>
      </c>
      <c r="J73" s="56"/>
      <c r="K73" s="57"/>
      <c r="L73" s="57"/>
      <c r="M73" s="57"/>
      <c r="N73" s="57"/>
      <c r="O73" s="57"/>
    </row>
    <row r="74" spans="1:15" x14ac:dyDescent="0.2">
      <c r="A74">
        <v>28</v>
      </c>
      <c r="B74" s="56">
        <f t="shared" si="0"/>
        <v>48580</v>
      </c>
      <c r="C74" s="42"/>
      <c r="D74" s="42"/>
      <c r="E74" s="57"/>
      <c r="F74" s="57"/>
      <c r="G74" s="42">
        <f t="shared" si="1"/>
        <v>0</v>
      </c>
      <c r="J74" s="56"/>
      <c r="K74" s="57"/>
      <c r="L74" s="57"/>
      <c r="M74" s="57"/>
      <c r="N74" s="57"/>
      <c r="O74" s="57"/>
    </row>
    <row r="75" spans="1:15" x14ac:dyDescent="0.2">
      <c r="A75">
        <v>29</v>
      </c>
      <c r="B75" s="56">
        <f t="shared" si="0"/>
        <v>48670</v>
      </c>
      <c r="C75" s="42"/>
      <c r="D75" s="42"/>
      <c r="E75" s="57"/>
      <c r="F75" s="57"/>
      <c r="G75" s="42">
        <f t="shared" si="1"/>
        <v>0</v>
      </c>
      <c r="J75" s="56"/>
      <c r="K75" s="57"/>
      <c r="L75" s="57"/>
      <c r="M75" s="57"/>
      <c r="N75" s="57"/>
      <c r="O75" s="57"/>
    </row>
    <row r="76" spans="1:15" x14ac:dyDescent="0.2">
      <c r="A76">
        <v>30</v>
      </c>
      <c r="B76" s="56">
        <f t="shared" si="0"/>
        <v>48761</v>
      </c>
      <c r="C76" s="42"/>
      <c r="D76" s="42"/>
      <c r="E76" s="57"/>
      <c r="F76" s="57"/>
      <c r="G76" s="42">
        <f t="shared" si="1"/>
        <v>0</v>
      </c>
      <c r="J76" s="56"/>
      <c r="K76" s="57"/>
      <c r="L76" s="57"/>
      <c r="M76" s="57"/>
      <c r="N76" s="57"/>
      <c r="O76" s="57"/>
    </row>
    <row r="77" spans="1:15" x14ac:dyDescent="0.2">
      <c r="A77">
        <v>31</v>
      </c>
      <c r="B77" s="56">
        <f t="shared" si="0"/>
        <v>48853</v>
      </c>
      <c r="C77" s="42"/>
      <c r="D77" s="42"/>
      <c r="E77" s="57"/>
      <c r="F77" s="57"/>
      <c r="G77" s="42">
        <f t="shared" si="1"/>
        <v>0</v>
      </c>
      <c r="J77" s="56"/>
      <c r="K77" s="57"/>
      <c r="L77" s="57"/>
      <c r="M77" s="57"/>
      <c r="N77" s="57"/>
      <c r="O77" s="57"/>
    </row>
    <row r="78" spans="1:15" x14ac:dyDescent="0.2">
      <c r="A78">
        <v>32</v>
      </c>
      <c r="B78" s="56">
        <f t="shared" si="0"/>
        <v>48945</v>
      </c>
      <c r="C78" s="42"/>
      <c r="D78" s="42"/>
      <c r="E78" s="57"/>
      <c r="F78" s="57"/>
      <c r="G78" s="42">
        <f t="shared" si="1"/>
        <v>0</v>
      </c>
      <c r="J78" s="56"/>
      <c r="K78" s="57"/>
      <c r="L78" s="57"/>
      <c r="M78" s="57"/>
      <c r="N78" s="57"/>
      <c r="O78" s="57"/>
    </row>
    <row r="79" spans="1:15" x14ac:dyDescent="0.2">
      <c r="A79">
        <v>33</v>
      </c>
      <c r="B79" s="56">
        <f t="shared" si="0"/>
        <v>49035</v>
      </c>
      <c r="C79" s="42"/>
      <c r="D79" s="42"/>
      <c r="E79" s="57"/>
      <c r="F79" s="57"/>
      <c r="G79" s="42">
        <f t="shared" si="1"/>
        <v>0</v>
      </c>
      <c r="J79" s="56"/>
      <c r="K79" s="57"/>
      <c r="L79" s="57"/>
      <c r="M79" s="57"/>
      <c r="N79" s="57"/>
      <c r="O79" s="57"/>
    </row>
    <row r="80" spans="1:15" x14ac:dyDescent="0.2">
      <c r="A80">
        <v>34</v>
      </c>
      <c r="B80" s="56">
        <f t="shared" si="0"/>
        <v>49126</v>
      </c>
      <c r="C80" s="42"/>
      <c r="D80" s="42"/>
      <c r="E80" s="57"/>
      <c r="F80" s="57"/>
      <c r="G80" s="42">
        <f t="shared" si="1"/>
        <v>0</v>
      </c>
      <c r="J80" s="56"/>
      <c r="K80" s="57"/>
      <c r="L80" s="57"/>
      <c r="M80" s="57"/>
      <c r="N80" s="57"/>
      <c r="O80" s="57"/>
    </row>
    <row r="81" spans="1:15" x14ac:dyDescent="0.2">
      <c r="A81">
        <v>35</v>
      </c>
      <c r="B81" s="56">
        <f t="shared" si="0"/>
        <v>49218</v>
      </c>
      <c r="C81" s="42"/>
      <c r="D81" s="42"/>
      <c r="E81" s="57"/>
      <c r="F81" s="57"/>
      <c r="G81" s="42">
        <f t="shared" si="1"/>
        <v>0</v>
      </c>
      <c r="J81" s="56"/>
      <c r="K81" s="57"/>
      <c r="L81" s="57"/>
      <c r="M81" s="57"/>
      <c r="N81" s="57"/>
      <c r="O81" s="57"/>
    </row>
    <row r="82" spans="1:15" x14ac:dyDescent="0.2">
      <c r="A82">
        <v>36</v>
      </c>
      <c r="B82" s="56">
        <f t="shared" si="0"/>
        <v>49310</v>
      </c>
      <c r="C82" s="42"/>
      <c r="D82" s="42"/>
      <c r="E82" s="57"/>
      <c r="F82" s="57"/>
      <c r="G82" s="42">
        <f t="shared" si="1"/>
        <v>0</v>
      </c>
      <c r="J82" s="56"/>
      <c r="K82" s="57"/>
      <c r="L82" s="57"/>
      <c r="M82" s="57"/>
      <c r="N82" s="57"/>
      <c r="O82" s="57"/>
    </row>
    <row r="83" spans="1:15" x14ac:dyDescent="0.2">
      <c r="A83">
        <v>37</v>
      </c>
      <c r="B83" s="56">
        <f t="shared" si="0"/>
        <v>49400</v>
      </c>
      <c r="C83" s="42"/>
      <c r="D83" s="42"/>
      <c r="E83" s="57"/>
      <c r="F83" s="57"/>
      <c r="G83" s="42">
        <f t="shared" si="1"/>
        <v>0</v>
      </c>
      <c r="J83" s="56"/>
      <c r="K83" s="57"/>
      <c r="L83" s="57"/>
      <c r="M83" s="57"/>
      <c r="N83" s="57"/>
      <c r="O83" s="57"/>
    </row>
    <row r="84" spans="1:15" x14ac:dyDescent="0.2">
      <c r="A84">
        <v>38</v>
      </c>
      <c r="B84" s="56">
        <f t="shared" si="0"/>
        <v>49491</v>
      </c>
      <c r="C84" s="42"/>
      <c r="D84" s="42"/>
      <c r="E84" s="57"/>
      <c r="F84" s="57"/>
      <c r="G84" s="42">
        <f t="shared" si="1"/>
        <v>0</v>
      </c>
      <c r="J84" s="56"/>
      <c r="K84" s="57"/>
      <c r="L84" s="57"/>
      <c r="M84" s="57"/>
      <c r="N84" s="57"/>
      <c r="O84" s="57"/>
    </row>
    <row r="85" spans="1:15" x14ac:dyDescent="0.2">
      <c r="A85">
        <v>39</v>
      </c>
      <c r="B85" s="56">
        <f t="shared" si="0"/>
        <v>49583</v>
      </c>
      <c r="C85" s="42"/>
      <c r="D85" s="42"/>
      <c r="E85" s="57"/>
      <c r="F85" s="57"/>
      <c r="G85" s="42">
        <f t="shared" si="1"/>
        <v>0</v>
      </c>
      <c r="J85" s="56"/>
      <c r="K85" s="57"/>
      <c r="L85" s="57"/>
      <c r="M85" s="57"/>
      <c r="N85" s="57"/>
      <c r="O85" s="57"/>
    </row>
    <row r="86" spans="1:15" x14ac:dyDescent="0.2">
      <c r="A86">
        <v>40</v>
      </c>
      <c r="B86" s="56">
        <f t="shared" si="0"/>
        <v>49675</v>
      </c>
      <c r="C86" s="42"/>
      <c r="D86" s="42"/>
      <c r="E86" s="57"/>
      <c r="F86" s="57"/>
      <c r="G86" s="42">
        <f t="shared" si="1"/>
        <v>0</v>
      </c>
      <c r="J86" s="56"/>
      <c r="K86" s="57"/>
      <c r="L86" s="57"/>
      <c r="M86" s="57"/>
      <c r="N86" s="57"/>
      <c r="O86" s="57"/>
    </row>
    <row r="87" spans="1:15" x14ac:dyDescent="0.2">
      <c r="B87" s="56"/>
    </row>
    <row r="88" spans="1:15" x14ac:dyDescent="0.2">
      <c r="B88" s="56"/>
    </row>
    <row r="89" spans="1:15" x14ac:dyDescent="0.2">
      <c r="B89" s="56"/>
    </row>
    <row r="90" spans="1:15" x14ac:dyDescent="0.2">
      <c r="B90" s="56"/>
    </row>
    <row r="91" spans="1:15" x14ac:dyDescent="0.2">
      <c r="B91" s="56"/>
    </row>
    <row r="92" spans="1:15" x14ac:dyDescent="0.2">
      <c r="B92" s="56"/>
    </row>
  </sheetData>
  <mergeCells count="3">
    <mergeCell ref="A26:B26"/>
    <mergeCell ref="A44:G44"/>
    <mergeCell ref="I44:O44"/>
  </mergeCells>
  <hyperlinks>
    <hyperlink ref="F3" r:id="rId1" xr:uid="{0A0E8A12-CD7A-41C2-A581-D6B4C3B88045}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4A2-2B49-4495-AB56-1F9BD254EFD5}">
  <dimension ref="A1:J37"/>
  <sheetViews>
    <sheetView showGridLines="0" zoomScale="115" workbookViewId="0">
      <selection activeCell="A6" sqref="A6"/>
    </sheetView>
  </sheetViews>
  <sheetFormatPr baseColWidth="10" defaultColWidth="11" defaultRowHeight="15" x14ac:dyDescent="0.2"/>
  <cols>
    <col min="1" max="1" width="22.1640625" style="100" customWidth="1"/>
    <col min="2" max="2" width="13" style="100" customWidth="1"/>
    <col min="3" max="3" width="20" style="100" customWidth="1"/>
    <col min="4" max="4" width="19.5" style="100" customWidth="1"/>
    <col min="5" max="16384" width="11" style="100"/>
  </cols>
  <sheetData>
    <row r="1" spans="1:7" s="37" customFormat="1" x14ac:dyDescent="0.2">
      <c r="A1" s="105" t="s">
        <v>175</v>
      </c>
      <c r="B1" s="99"/>
      <c r="C1" s="99"/>
      <c r="D1" s="99"/>
      <c r="E1" s="99"/>
      <c r="F1" s="99"/>
      <c r="G1" s="99"/>
    </row>
    <row r="2" spans="1:7" s="37" customFormat="1" ht="18" x14ac:dyDescent="0.2">
      <c r="A2" s="98"/>
      <c r="B2" s="98"/>
      <c r="C2" s="98"/>
      <c r="D2" s="98"/>
      <c r="E2" s="98"/>
      <c r="F2" s="98"/>
      <c r="G2" s="98"/>
    </row>
    <row r="3" spans="1:7" x14ac:dyDescent="0.2">
      <c r="A3" s="99" t="s">
        <v>176</v>
      </c>
      <c r="B3" s="99" t="s">
        <v>169</v>
      </c>
      <c r="C3" s="99" t="s">
        <v>107</v>
      </c>
    </row>
    <row r="4" spans="1:7" x14ac:dyDescent="0.2">
      <c r="A4" s="100" t="s">
        <v>177</v>
      </c>
      <c r="B4" s="101">
        <v>46188</v>
      </c>
      <c r="C4" s="100" t="s">
        <v>178</v>
      </c>
    </row>
    <row r="5" spans="1:7" ht="16.5" customHeight="1" x14ac:dyDescent="0.2">
      <c r="A5" s="100" t="s">
        <v>179</v>
      </c>
      <c r="B5" s="101">
        <v>46188</v>
      </c>
      <c r="C5" s="100" t="s">
        <v>180</v>
      </c>
    </row>
    <row r="6" spans="1:7" x14ac:dyDescent="0.2">
      <c r="C6" s="100" t="s">
        <v>181</v>
      </c>
    </row>
    <row r="7" spans="1:7" x14ac:dyDescent="0.2">
      <c r="C7" s="100" t="s">
        <v>182</v>
      </c>
    </row>
    <row r="10" spans="1:7" x14ac:dyDescent="0.2">
      <c r="A10" s="102" t="s">
        <v>183</v>
      </c>
      <c r="B10" s="102" t="s">
        <v>177</v>
      </c>
      <c r="C10" s="102" t="s">
        <v>179</v>
      </c>
      <c r="D10" s="102" t="s">
        <v>184</v>
      </c>
    </row>
    <row r="11" spans="1:7" x14ac:dyDescent="0.2">
      <c r="A11" s="102">
        <v>2026</v>
      </c>
      <c r="B11" s="103"/>
      <c r="C11" s="104"/>
      <c r="D11" s="104">
        <v>5.8400000000000001E-2</v>
      </c>
    </row>
    <row r="12" spans="1:7" x14ac:dyDescent="0.2">
      <c r="A12" s="102">
        <v>2027</v>
      </c>
      <c r="B12" s="103">
        <v>0.1303</v>
      </c>
      <c r="C12" s="104">
        <v>6.1899999999999997E-2</v>
      </c>
      <c r="D12" s="104">
        <f t="shared" ref="D12:D20" si="0">B12-C12</f>
        <v>6.8400000000000002E-2</v>
      </c>
    </row>
    <row r="13" spans="1:7" x14ac:dyDescent="0.2">
      <c r="A13" s="102">
        <v>2028</v>
      </c>
      <c r="B13" s="103">
        <v>0.12989999999999999</v>
      </c>
      <c r="C13" s="104">
        <f>AVERAGE(C12,C14)</f>
        <v>6.409999999999999E-2</v>
      </c>
      <c r="D13" s="104">
        <f t="shared" si="0"/>
        <v>6.5799999999999997E-2</v>
      </c>
    </row>
    <row r="14" spans="1:7" x14ac:dyDescent="0.2">
      <c r="A14" s="102">
        <v>2029</v>
      </c>
      <c r="B14" s="103">
        <v>0.13</v>
      </c>
      <c r="C14" s="104">
        <v>6.6299999999999998E-2</v>
      </c>
      <c r="D14" s="104">
        <f t="shared" si="0"/>
        <v>6.3700000000000007E-2</v>
      </c>
    </row>
    <row r="15" spans="1:7" x14ac:dyDescent="0.2">
      <c r="A15" s="102">
        <v>2030</v>
      </c>
      <c r="B15" s="103">
        <v>0.12989999999999999</v>
      </c>
      <c r="C15" s="104">
        <f>AVERAGE(C14,C16)</f>
        <v>6.8150000000000002E-2</v>
      </c>
      <c r="D15" s="104">
        <f t="shared" si="0"/>
        <v>6.1749999999999985E-2</v>
      </c>
    </row>
    <row r="16" spans="1:7" x14ac:dyDescent="0.2">
      <c r="A16" s="102">
        <v>2031</v>
      </c>
      <c r="B16" s="103">
        <v>0.1285</v>
      </c>
      <c r="C16" s="104">
        <v>7.0000000000000007E-2</v>
      </c>
      <c r="D16" s="104">
        <f t="shared" si="0"/>
        <v>5.8499999999999996E-2</v>
      </c>
    </row>
    <row r="17" spans="1:4" x14ac:dyDescent="0.2">
      <c r="A17" s="102">
        <v>2032</v>
      </c>
      <c r="B17" s="103">
        <v>0.1265</v>
      </c>
      <c r="C17" s="104">
        <f>AVERAGE(C16,C18)</f>
        <v>6.8349999999999994E-2</v>
      </c>
      <c r="D17" s="104">
        <f t="shared" si="0"/>
        <v>5.8150000000000007E-2</v>
      </c>
    </row>
    <row r="18" spans="1:4" x14ac:dyDescent="0.2">
      <c r="A18" s="102">
        <v>2033</v>
      </c>
      <c r="B18" s="103">
        <v>0.1255</v>
      </c>
      <c r="C18" s="104">
        <v>6.6699999999999995E-2</v>
      </c>
      <c r="D18" s="104">
        <f t="shared" si="0"/>
        <v>5.8800000000000005E-2</v>
      </c>
    </row>
    <row r="19" spans="1:4" x14ac:dyDescent="0.2">
      <c r="A19" s="102">
        <v>2034</v>
      </c>
      <c r="B19" s="103">
        <v>0.12470000000000001</v>
      </c>
      <c r="C19" s="104">
        <f>AVERAGE(C18,C20)</f>
        <v>6.6099999999999992E-2</v>
      </c>
      <c r="D19" s="104">
        <f t="shared" si="0"/>
        <v>5.8600000000000013E-2</v>
      </c>
    </row>
    <row r="20" spans="1:4" x14ac:dyDescent="0.2">
      <c r="A20" s="102">
        <v>2035</v>
      </c>
      <c r="B20" s="103">
        <v>0.124</v>
      </c>
      <c r="C20" s="104">
        <v>6.5500000000000003E-2</v>
      </c>
      <c r="D20" s="104">
        <f t="shared" si="0"/>
        <v>5.8499999999999996E-2</v>
      </c>
    </row>
    <row r="22" spans="1:4" x14ac:dyDescent="0.2">
      <c r="A22" s="100" t="s">
        <v>185</v>
      </c>
    </row>
    <row r="23" spans="1:4" x14ac:dyDescent="0.2">
      <c r="A23" s="100" t="s">
        <v>186</v>
      </c>
    </row>
    <row r="34" spans="1:10" x14ac:dyDescent="0.2">
      <c r="A34" s="100" t="s">
        <v>187</v>
      </c>
    </row>
    <row r="37" spans="1:10" x14ac:dyDescent="0.2">
      <c r="A37" s="106"/>
      <c r="B37" s="106"/>
      <c r="C37" s="106"/>
      <c r="D37" s="106"/>
      <c r="E37" s="106"/>
      <c r="F37" s="106"/>
      <c r="G37" s="106"/>
      <c r="H37" s="106"/>
      <c r="I37" s="106"/>
      <c r="J37" s="106"/>
    </row>
  </sheetData>
  <hyperlinks>
    <hyperlink ref="C5" r:id="rId1" display="https://www.grupoaval.com/wps/portal/grupo-aval/aval/portal-financiero/renta-fija/tes/datos-historicos" xr:uid="{1605EA08-2849-406F-93B3-4A73CC409EBE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E9CB-50B8-4732-B1D8-3AC938CDB0EE}">
  <dimension ref="A1:AQ68"/>
  <sheetViews>
    <sheetView showGridLines="0" zoomScale="90" zoomScaleNormal="90" workbookViewId="0">
      <selection activeCell="AN16" sqref="AN16:AN25"/>
    </sheetView>
  </sheetViews>
  <sheetFormatPr baseColWidth="10" defaultColWidth="11" defaultRowHeight="16" x14ac:dyDescent="0.2"/>
  <cols>
    <col min="1" max="1" width="36.5" bestFit="1" customWidth="1"/>
    <col min="2" max="2" width="13.6640625" customWidth="1"/>
    <col min="3" max="3" width="13.1640625" customWidth="1"/>
    <col min="4" max="4" width="49.1640625" bestFit="1" customWidth="1"/>
    <col min="5" max="6" width="12.6640625" bestFit="1" customWidth="1"/>
    <col min="7" max="7" width="16" customWidth="1"/>
    <col min="9" max="9" width="7.6640625" customWidth="1"/>
    <col min="10" max="11" width="12.6640625" bestFit="1" customWidth="1"/>
    <col min="12" max="12" width="17.6640625" bestFit="1" customWidth="1"/>
    <col min="13" max="13" width="14" customWidth="1"/>
    <col min="14" max="14" width="2.1640625" style="76" customWidth="1"/>
    <col min="16" max="16" width="41" bestFit="1" customWidth="1"/>
    <col min="17" max="17" width="16.1640625" customWidth="1"/>
    <col min="18" max="18" width="21.1640625" customWidth="1"/>
    <col min="19" max="19" width="34" customWidth="1"/>
    <col min="20" max="20" width="19.1640625" customWidth="1"/>
    <col min="21" max="21" width="14.5" customWidth="1"/>
    <col min="22" max="22" width="17.6640625" customWidth="1"/>
    <col min="24" max="24" width="5.6640625" bestFit="1" customWidth="1"/>
    <col min="25" max="27" width="12.6640625" bestFit="1" customWidth="1"/>
    <col min="28" max="28" width="14.5" customWidth="1"/>
    <col min="29" max="29" width="1.1640625" style="76" customWidth="1"/>
    <col min="32" max="32" width="24.1640625" bestFit="1" customWidth="1"/>
    <col min="33" max="33" width="16.6640625" customWidth="1"/>
    <col min="34" max="34" width="19.5" customWidth="1"/>
    <col min="35" max="35" width="23.1640625" customWidth="1"/>
    <col min="36" max="36" width="19.6640625" customWidth="1"/>
    <col min="37" max="37" width="18" customWidth="1"/>
    <col min="40" max="40" width="14.1640625" customWidth="1"/>
    <col min="41" max="41" width="19.6640625" customWidth="1"/>
    <col min="42" max="42" width="17.1640625" customWidth="1"/>
  </cols>
  <sheetData>
    <row r="1" spans="1:43" ht="19" x14ac:dyDescent="0.25">
      <c r="A1" s="162" t="s">
        <v>188</v>
      </c>
      <c r="B1" s="162"/>
      <c r="C1" s="162"/>
      <c r="D1" s="162"/>
      <c r="E1" s="162"/>
      <c r="F1" s="162"/>
      <c r="G1" s="162"/>
      <c r="P1" s="63" t="s">
        <v>189</v>
      </c>
      <c r="Q1" s="63"/>
      <c r="R1" s="63"/>
      <c r="S1" s="63"/>
      <c r="T1" s="63"/>
      <c r="U1" s="63"/>
      <c r="V1" s="63"/>
    </row>
    <row r="3" spans="1:43" x14ac:dyDescent="0.2">
      <c r="A3" s="163" t="s">
        <v>190</v>
      </c>
      <c r="B3" s="163"/>
      <c r="D3" s="64" t="s">
        <v>191</v>
      </c>
      <c r="P3" s="164" t="s">
        <v>190</v>
      </c>
      <c r="Q3" s="164"/>
      <c r="S3" s="64" t="s">
        <v>191</v>
      </c>
    </row>
    <row r="4" spans="1:43" x14ac:dyDescent="0.2">
      <c r="A4" t="s">
        <v>192</v>
      </c>
      <c r="B4" s="41">
        <v>9.3600000000000003E-2</v>
      </c>
      <c r="D4" s="65" t="s">
        <v>193</v>
      </c>
      <c r="P4" s="64" t="s">
        <v>194</v>
      </c>
      <c r="Q4" s="41">
        <v>0.09</v>
      </c>
      <c r="S4" t="s">
        <v>195</v>
      </c>
      <c r="AF4" t="s">
        <v>196</v>
      </c>
      <c r="AG4" t="s">
        <v>197</v>
      </c>
    </row>
    <row r="5" spans="1:43" x14ac:dyDescent="0.2">
      <c r="A5" t="s">
        <v>198</v>
      </c>
      <c r="B5" s="41">
        <v>0.105</v>
      </c>
      <c r="D5" s="65" t="s">
        <v>199</v>
      </c>
      <c r="P5" s="64" t="s">
        <v>200</v>
      </c>
      <c r="Q5" s="41">
        <v>0.105</v>
      </c>
      <c r="S5" t="s">
        <v>201</v>
      </c>
      <c r="AF5" t="s">
        <v>202</v>
      </c>
      <c r="AG5" t="s">
        <v>203</v>
      </c>
    </row>
    <row r="6" spans="1:43" x14ac:dyDescent="0.2">
      <c r="A6" t="s">
        <v>204</v>
      </c>
      <c r="B6" s="41">
        <f>B4+B5</f>
        <v>0.1986</v>
      </c>
      <c r="D6" s="65" t="s">
        <v>205</v>
      </c>
      <c r="P6" s="64" t="s">
        <v>206</v>
      </c>
      <c r="Q6" s="41">
        <f>Q4+Q5</f>
        <v>0.19500000000000001</v>
      </c>
      <c r="S6" t="s">
        <v>207</v>
      </c>
      <c r="AF6" t="s">
        <v>208</v>
      </c>
      <c r="AG6" s="11">
        <v>0.105</v>
      </c>
    </row>
    <row r="7" spans="1:43" x14ac:dyDescent="0.2">
      <c r="A7" t="s">
        <v>209</v>
      </c>
      <c r="B7" s="41">
        <f>(B6/4)</f>
        <v>4.965E-2</v>
      </c>
      <c r="D7" s="65" t="s">
        <v>210</v>
      </c>
      <c r="P7" s="64" t="s">
        <v>211</v>
      </c>
      <c r="Q7">
        <f>360/92</f>
        <v>3.9130434782608696</v>
      </c>
      <c r="AF7" t="s">
        <v>212</v>
      </c>
      <c r="AG7" s="11">
        <v>6.4000000000000001E-2</v>
      </c>
    </row>
    <row r="8" spans="1:43" x14ac:dyDescent="0.2">
      <c r="A8" t="s">
        <v>213</v>
      </c>
      <c r="B8" s="41">
        <f>B7/(1-B7)</f>
        <v>5.224391013837007E-2</v>
      </c>
      <c r="D8" s="65" t="s">
        <v>214</v>
      </c>
      <c r="P8" s="64" t="s">
        <v>215</v>
      </c>
      <c r="Q8">
        <f>365/92</f>
        <v>3.9673913043478262</v>
      </c>
      <c r="AF8" t="s">
        <v>216</v>
      </c>
      <c r="AG8" s="86">
        <f>AG6+AG7</f>
        <v>0.16899999999999998</v>
      </c>
    </row>
    <row r="9" spans="1:43" x14ac:dyDescent="0.2">
      <c r="A9" t="s">
        <v>217</v>
      </c>
      <c r="B9" s="41">
        <f>B8*4</f>
        <v>0.20897564055348028</v>
      </c>
      <c r="D9" s="65" t="s">
        <v>218</v>
      </c>
      <c r="P9" s="64" t="s">
        <v>219</v>
      </c>
      <c r="Q9" s="41">
        <f>Q6/Q7</f>
        <v>4.9833333333333334E-2</v>
      </c>
      <c r="S9" t="s">
        <v>220</v>
      </c>
      <c r="AF9" t="s">
        <v>221</v>
      </c>
      <c r="AG9" s="12">
        <f>(1+AG8)^(6/12)-1</f>
        <v>8.1203033662040847E-2</v>
      </c>
    </row>
    <row r="10" spans="1:43" x14ac:dyDescent="0.2">
      <c r="A10" t="s">
        <v>222</v>
      </c>
      <c r="B10" s="41">
        <f>(1+B9/4)^4-1</f>
        <v>0.22593003077716389</v>
      </c>
      <c r="P10" s="64" t="s">
        <v>216</v>
      </c>
      <c r="Q10" s="41">
        <f>(1+Q9)^Q8-1</f>
        <v>0.21280987528971007</v>
      </c>
      <c r="S10" t="s">
        <v>223</v>
      </c>
      <c r="AF10" t="s">
        <v>224</v>
      </c>
      <c r="AG10" s="66">
        <f>+B12</f>
        <v>8400</v>
      </c>
    </row>
    <row r="11" spans="1:43" x14ac:dyDescent="0.2">
      <c r="A11" t="s">
        <v>145</v>
      </c>
      <c r="B11">
        <v>10</v>
      </c>
      <c r="D11" s="65"/>
      <c r="P11" s="64" t="s">
        <v>145</v>
      </c>
      <c r="Q11">
        <v>10</v>
      </c>
      <c r="S11" t="s">
        <v>225</v>
      </c>
      <c r="AF11" t="s">
        <v>226</v>
      </c>
      <c r="AG11" s="86">
        <v>0.25</v>
      </c>
    </row>
    <row r="12" spans="1:43" x14ac:dyDescent="0.2">
      <c r="A12" t="s">
        <v>224</v>
      </c>
      <c r="B12" s="66">
        <f>Datos!C10*Datos!C35</f>
        <v>8400</v>
      </c>
      <c r="D12" s="65"/>
      <c r="P12" s="64" t="s">
        <v>227</v>
      </c>
      <c r="Q12" s="66">
        <f>+B12</f>
        <v>8400</v>
      </c>
      <c r="S12" t="s">
        <v>228</v>
      </c>
      <c r="AF12" t="s">
        <v>229</v>
      </c>
      <c r="AG12" s="15">
        <f>AG10*AG11</f>
        <v>2100</v>
      </c>
    </row>
    <row r="13" spans="1:43" x14ac:dyDescent="0.2">
      <c r="A13" t="s">
        <v>230</v>
      </c>
      <c r="B13" s="41">
        <v>0.06</v>
      </c>
      <c r="P13" s="64" t="s">
        <v>230</v>
      </c>
      <c r="Q13" s="41">
        <v>5.5E-2</v>
      </c>
      <c r="S13" t="s">
        <v>231</v>
      </c>
      <c r="AF13" t="s">
        <v>232</v>
      </c>
      <c r="AG13" s="15">
        <f>AG9*AG10</f>
        <v>682.10548276114309</v>
      </c>
      <c r="AM13" s="166" t="s">
        <v>233</v>
      </c>
      <c r="AN13" s="167"/>
      <c r="AO13" s="167"/>
      <c r="AP13" s="167"/>
      <c r="AQ13" s="167"/>
    </row>
    <row r="14" spans="1:43" x14ac:dyDescent="0.2">
      <c r="A14" t="s">
        <v>234</v>
      </c>
      <c r="B14" s="66">
        <f>B12*B13</f>
        <v>504</v>
      </c>
      <c r="P14" s="64" t="s">
        <v>234</v>
      </c>
      <c r="Q14" s="66">
        <f>Q12*Q13</f>
        <v>462</v>
      </c>
      <c r="S14" t="s">
        <v>235</v>
      </c>
    </row>
    <row r="15" spans="1:43" x14ac:dyDescent="0.2">
      <c r="A15" t="s">
        <v>236</v>
      </c>
      <c r="B15" s="66">
        <f>B12-B14</f>
        <v>7896</v>
      </c>
      <c r="P15" s="64" t="s">
        <v>236</v>
      </c>
      <c r="Q15" s="66">
        <f>Q12-Q14</f>
        <v>7938</v>
      </c>
      <c r="AM15" s="90" t="s">
        <v>183</v>
      </c>
      <c r="AN15" s="90" t="s">
        <v>237</v>
      </c>
      <c r="AO15" s="90" t="s">
        <v>238</v>
      </c>
      <c r="AP15" s="90" t="s">
        <v>239</v>
      </c>
      <c r="AQ15" s="90" t="s">
        <v>174</v>
      </c>
    </row>
    <row r="16" spans="1:43" x14ac:dyDescent="0.2">
      <c r="A16" t="s">
        <v>240</v>
      </c>
      <c r="B16" s="12">
        <f>B10*(1-0.35)</f>
        <v>0.14685452000515653</v>
      </c>
      <c r="P16" s="64" t="s">
        <v>241</v>
      </c>
      <c r="Q16">
        <v>2</v>
      </c>
      <c r="S16" t="s">
        <v>242</v>
      </c>
      <c r="AM16">
        <v>1</v>
      </c>
      <c r="AN16" s="66">
        <f t="shared" ref="AN16:AN25" si="0">SUMIF($AG$20:$AG$39,AM16,$AI$20:$AI$39)</f>
        <v>1364.2109655222862</v>
      </c>
      <c r="AO16">
        <f t="shared" ref="AO16:AO25" si="1">SUMIF($AG$20:$AG$39,AM16,$AJ$20:$AJ$39)</f>
        <v>0</v>
      </c>
      <c r="AP16" s="66">
        <f t="shared" ref="AP16:AP25" si="2">+AN16+AO16</f>
        <v>1364.2109655222862</v>
      </c>
    </row>
    <row r="17" spans="1:43" x14ac:dyDescent="0.2">
      <c r="A17" s="163" t="s">
        <v>243</v>
      </c>
      <c r="B17" s="163"/>
      <c r="C17" s="163"/>
      <c r="D17" s="163"/>
      <c r="E17" s="163"/>
      <c r="F17" s="163"/>
      <c r="G17" s="163"/>
      <c r="I17" s="163" t="s">
        <v>233</v>
      </c>
      <c r="J17" s="163"/>
      <c r="K17" s="163"/>
      <c r="L17" s="163"/>
      <c r="M17" s="163"/>
      <c r="P17" s="64" t="s">
        <v>244</v>
      </c>
      <c r="Q17" s="66">
        <f>PMT(Q9,32,-Q12)</f>
        <v>530.50125612637203</v>
      </c>
      <c r="S17" t="s">
        <v>245</v>
      </c>
      <c r="AM17">
        <v>2</v>
      </c>
      <c r="AN17" s="66">
        <f t="shared" si="0"/>
        <v>1364.2109655222862</v>
      </c>
      <c r="AO17">
        <f t="shared" si="1"/>
        <v>0</v>
      </c>
      <c r="AP17" s="66">
        <f t="shared" si="2"/>
        <v>1364.2109655222862</v>
      </c>
    </row>
    <row r="18" spans="1:43" x14ac:dyDescent="0.2">
      <c r="AM18">
        <v>3</v>
      </c>
      <c r="AN18" s="66">
        <f t="shared" si="0"/>
        <v>1364.2109655222862</v>
      </c>
      <c r="AO18">
        <f t="shared" si="1"/>
        <v>0</v>
      </c>
      <c r="AP18" s="66">
        <f t="shared" si="2"/>
        <v>1364.2109655222862</v>
      </c>
    </row>
    <row r="19" spans="1:43" x14ac:dyDescent="0.2">
      <c r="A19" s="67" t="s">
        <v>246</v>
      </c>
      <c r="B19" s="67" t="s">
        <v>183</v>
      </c>
      <c r="C19" s="67" t="s">
        <v>170</v>
      </c>
      <c r="D19" s="67" t="s">
        <v>247</v>
      </c>
      <c r="E19" s="67" t="s">
        <v>248</v>
      </c>
      <c r="F19" s="67" t="s">
        <v>239</v>
      </c>
      <c r="G19" s="67" t="s">
        <v>174</v>
      </c>
      <c r="I19" s="67" t="s">
        <v>183</v>
      </c>
      <c r="J19" s="67" t="s">
        <v>232</v>
      </c>
      <c r="K19" s="67" t="s">
        <v>248</v>
      </c>
      <c r="L19" s="67" t="s">
        <v>239</v>
      </c>
      <c r="M19" s="67" t="s">
        <v>174</v>
      </c>
      <c r="P19" s="165" t="s">
        <v>243</v>
      </c>
      <c r="Q19" s="165"/>
      <c r="R19" s="165"/>
      <c r="S19" s="165"/>
      <c r="T19" s="165"/>
      <c r="U19" s="165"/>
      <c r="V19" s="165"/>
      <c r="X19" s="165" t="s">
        <v>233</v>
      </c>
      <c r="Y19" s="165"/>
      <c r="Z19" s="165"/>
      <c r="AA19" s="165"/>
      <c r="AB19" s="165"/>
      <c r="AF19" s="72" t="s">
        <v>249</v>
      </c>
      <c r="AG19" s="72" t="s">
        <v>183</v>
      </c>
      <c r="AH19" s="87" t="s">
        <v>172</v>
      </c>
      <c r="AI19" s="87" t="s">
        <v>250</v>
      </c>
      <c r="AJ19" s="87" t="s">
        <v>117</v>
      </c>
      <c r="AK19" s="87" t="s">
        <v>251</v>
      </c>
      <c r="AM19">
        <v>4</v>
      </c>
      <c r="AN19" s="66">
        <f t="shared" si="0"/>
        <v>1364.2109655222862</v>
      </c>
      <c r="AO19">
        <f t="shared" si="1"/>
        <v>0</v>
      </c>
      <c r="AP19" s="66">
        <f t="shared" si="2"/>
        <v>1364.2109655222862</v>
      </c>
    </row>
    <row r="20" spans="1:43" x14ac:dyDescent="0.2">
      <c r="A20" s="68">
        <v>1</v>
      </c>
      <c r="B20" s="68">
        <v>1</v>
      </c>
      <c r="C20" s="69">
        <f>$B$12</f>
        <v>8400</v>
      </c>
      <c r="D20" s="69">
        <f>C20*$B$8</f>
        <v>438.84884516230858</v>
      </c>
      <c r="E20" s="69">
        <f t="shared" ref="E20:E59" si="3">IF(B20=1,0,IF(B20&lt;10,$B$12*0.1/4,$B$12*0.2/4))</f>
        <v>0</v>
      </c>
      <c r="F20" s="69">
        <f t="shared" ref="F20:F59" si="4">D20+E20</f>
        <v>438.84884516230858</v>
      </c>
      <c r="G20" s="69">
        <f t="shared" ref="G20:G59" si="5">C20-E20</f>
        <v>8400</v>
      </c>
      <c r="I20" s="68">
        <v>1</v>
      </c>
      <c r="J20" s="69">
        <f>SUM(D20:D23)</f>
        <v>1755.3953806492343</v>
      </c>
      <c r="K20" s="69">
        <f>SUM(E20:E23)</f>
        <v>0</v>
      </c>
      <c r="L20" s="69">
        <f>SUM(F20:F23)</f>
        <v>1755.3953806492343</v>
      </c>
      <c r="M20" s="69">
        <f>G23</f>
        <v>8400</v>
      </c>
      <c r="AF20">
        <v>1</v>
      </c>
      <c r="AG20">
        <v>1</v>
      </c>
      <c r="AH20" s="66">
        <f t="shared" ref="AH20:AH39" si="6">+$AG$10</f>
        <v>8400</v>
      </c>
      <c r="AI20" s="15">
        <f t="shared" ref="AI20:AI39" si="7">+$AG$13</f>
        <v>682.10548276114309</v>
      </c>
      <c r="AJ20">
        <v>0</v>
      </c>
      <c r="AK20" s="15">
        <f t="shared" ref="AK20:AK39" si="8">+AI20+AJ20</f>
        <v>682.10548276114309</v>
      </c>
      <c r="AM20">
        <v>5</v>
      </c>
      <c r="AN20" s="66">
        <f t="shared" si="0"/>
        <v>1364.2109655222862</v>
      </c>
      <c r="AO20">
        <f t="shared" si="1"/>
        <v>0</v>
      </c>
      <c r="AP20" s="66">
        <f t="shared" si="2"/>
        <v>1364.2109655222862</v>
      </c>
    </row>
    <row r="21" spans="1:43" ht="17" thickBot="1" x14ac:dyDescent="0.25">
      <c r="A21" s="68">
        <v>2</v>
      </c>
      <c r="B21" s="68">
        <v>1</v>
      </c>
      <c r="C21" s="69">
        <f t="shared" ref="C21:C59" si="9">G20</f>
        <v>8400</v>
      </c>
      <c r="D21" s="69">
        <f t="shared" ref="D21:D59" si="10">C21*$B$8</f>
        <v>438.84884516230858</v>
      </c>
      <c r="E21" s="69">
        <f t="shared" si="3"/>
        <v>0</v>
      </c>
      <c r="F21" s="69">
        <f t="shared" si="4"/>
        <v>438.84884516230858</v>
      </c>
      <c r="G21" s="69">
        <f t="shared" si="5"/>
        <v>8400</v>
      </c>
      <c r="I21" s="68">
        <v>2</v>
      </c>
      <c r="J21" s="69">
        <f>SUM(D24:D27)</f>
        <v>1689.5680538748879</v>
      </c>
      <c r="K21" s="69">
        <f>SUM(E24:E27)</f>
        <v>840</v>
      </c>
      <c r="L21" s="69">
        <f>SUM(F24:F27)</f>
        <v>2529.5680538748879</v>
      </c>
      <c r="M21" s="69">
        <f>G27</f>
        <v>7560</v>
      </c>
      <c r="P21" s="77" t="s">
        <v>246</v>
      </c>
      <c r="Q21" s="77" t="s">
        <v>183</v>
      </c>
      <c r="R21" s="77" t="s">
        <v>170</v>
      </c>
      <c r="S21" s="77" t="s">
        <v>247</v>
      </c>
      <c r="T21" s="77" t="s">
        <v>248</v>
      </c>
      <c r="U21" s="77" t="s">
        <v>239</v>
      </c>
      <c r="V21" s="77" t="s">
        <v>174</v>
      </c>
      <c r="X21" s="78" t="s">
        <v>183</v>
      </c>
      <c r="Y21" s="78" t="s">
        <v>232</v>
      </c>
      <c r="Z21" s="78" t="s">
        <v>248</v>
      </c>
      <c r="AA21" s="78" t="s">
        <v>239</v>
      </c>
      <c r="AB21" s="78" t="s">
        <v>174</v>
      </c>
      <c r="AF21">
        <v>2</v>
      </c>
      <c r="AG21">
        <v>1</v>
      </c>
      <c r="AH21" s="66">
        <f t="shared" si="6"/>
        <v>8400</v>
      </c>
      <c r="AI21" s="15">
        <f t="shared" si="7"/>
        <v>682.10548276114309</v>
      </c>
      <c r="AJ21">
        <v>0</v>
      </c>
      <c r="AK21" s="15">
        <f t="shared" si="8"/>
        <v>682.10548276114309</v>
      </c>
      <c r="AM21">
        <v>6</v>
      </c>
      <c r="AN21" s="66">
        <f t="shared" si="0"/>
        <v>1364.2109655222862</v>
      </c>
      <c r="AO21">
        <f t="shared" si="1"/>
        <v>0</v>
      </c>
      <c r="AP21" s="66">
        <f t="shared" si="2"/>
        <v>1364.2109655222862</v>
      </c>
    </row>
    <row r="22" spans="1:43" x14ac:dyDescent="0.2">
      <c r="A22" s="68">
        <v>3</v>
      </c>
      <c r="B22" s="68">
        <v>1</v>
      </c>
      <c r="C22" s="69">
        <f t="shared" si="9"/>
        <v>8400</v>
      </c>
      <c r="D22" s="69">
        <f t="shared" si="10"/>
        <v>438.84884516230858</v>
      </c>
      <c r="E22" s="69">
        <f t="shared" si="3"/>
        <v>0</v>
      </c>
      <c r="F22" s="69">
        <f t="shared" si="4"/>
        <v>438.84884516230858</v>
      </c>
      <c r="G22" s="69">
        <f t="shared" si="5"/>
        <v>8400</v>
      </c>
      <c r="I22" s="68">
        <v>3</v>
      </c>
      <c r="J22" s="69">
        <f>SUM(D28:D31)</f>
        <v>1514.0285158099646</v>
      </c>
      <c r="K22" s="69">
        <f>SUM(E28:E31)</f>
        <v>840</v>
      </c>
      <c r="L22" s="69">
        <f>SUM(F28:F31)</f>
        <v>2354.0285158099646</v>
      </c>
      <c r="M22" s="69">
        <f>G31</f>
        <v>6720</v>
      </c>
      <c r="P22" s="79">
        <v>1</v>
      </c>
      <c r="Q22" s="79">
        <f t="shared" ref="Q22:Q61" si="11">CEILING(P22/4,1)</f>
        <v>1</v>
      </c>
      <c r="R22" s="80">
        <f>$B$12</f>
        <v>8400</v>
      </c>
      <c r="S22" s="80">
        <f t="shared" ref="S22:S61" si="12">R22*$Q$9</f>
        <v>418.6</v>
      </c>
      <c r="T22" s="80">
        <f t="shared" ref="T22:T61" si="13">IF(Q22&lt;=$Q$16,0,$Q$17-S22)</f>
        <v>0</v>
      </c>
      <c r="U22" s="80">
        <f t="shared" ref="U22:U61" si="14">S22+T22</f>
        <v>418.6</v>
      </c>
      <c r="V22" s="80">
        <f t="shared" ref="V22:V60" si="15">R22-T22</f>
        <v>8400</v>
      </c>
      <c r="X22">
        <v>1</v>
      </c>
      <c r="Y22" s="66">
        <f t="shared" ref="Y22:Y31" si="16">SUMIF($B$22:$B$61,X22,$D$22:$D$61)</f>
        <v>877.69769032461716</v>
      </c>
      <c r="Z22" s="66">
        <f t="shared" ref="Z22:Z31" si="17">SUMIF($B$22:$B$61,X22,$E$22:$E$61)</f>
        <v>0</v>
      </c>
      <c r="AA22" s="66">
        <f t="shared" ref="AA22:AA31" si="18">SUMIF($B$22:$B$61,X22,$F$22:$F$61)</f>
        <v>877.69769032461716</v>
      </c>
      <c r="AB22" s="66" cm="1">
        <f t="array" ref="AB22">INDEX($G$22:$G$61,X22*4)</f>
        <v>7980</v>
      </c>
      <c r="AF22">
        <v>3</v>
      </c>
      <c r="AG22">
        <v>2</v>
      </c>
      <c r="AH22" s="66">
        <f t="shared" si="6"/>
        <v>8400</v>
      </c>
      <c r="AI22" s="15">
        <f t="shared" si="7"/>
        <v>682.10548276114309</v>
      </c>
      <c r="AJ22">
        <v>0</v>
      </c>
      <c r="AK22" s="15">
        <f t="shared" si="8"/>
        <v>682.10548276114309</v>
      </c>
      <c r="AM22">
        <v>7</v>
      </c>
      <c r="AN22" s="66">
        <f t="shared" si="0"/>
        <v>1364.2109655222862</v>
      </c>
      <c r="AO22">
        <f t="shared" si="1"/>
        <v>0</v>
      </c>
      <c r="AP22" s="66">
        <f t="shared" si="2"/>
        <v>1364.2109655222862</v>
      </c>
    </row>
    <row r="23" spans="1:43" x14ac:dyDescent="0.2">
      <c r="A23" s="68">
        <v>4</v>
      </c>
      <c r="B23" s="68">
        <v>1</v>
      </c>
      <c r="C23" s="69">
        <f t="shared" si="9"/>
        <v>8400</v>
      </c>
      <c r="D23" s="69">
        <f t="shared" si="10"/>
        <v>438.84884516230858</v>
      </c>
      <c r="E23" s="69">
        <f t="shared" si="3"/>
        <v>0</v>
      </c>
      <c r="F23" s="69">
        <f t="shared" si="4"/>
        <v>438.84884516230858</v>
      </c>
      <c r="G23" s="69">
        <f t="shared" si="5"/>
        <v>8400</v>
      </c>
      <c r="I23" s="68">
        <v>4</v>
      </c>
      <c r="J23" s="69">
        <f>SUM(D32:D35)</f>
        <v>1338.4889777450412</v>
      </c>
      <c r="K23" s="69">
        <f>SUM(E32:E35)</f>
        <v>840</v>
      </c>
      <c r="L23" s="69">
        <f>SUM(F32:F35)</f>
        <v>2178.4889777450412</v>
      </c>
      <c r="M23" s="69">
        <f>G35</f>
        <v>5880</v>
      </c>
      <c r="P23">
        <v>2</v>
      </c>
      <c r="Q23">
        <f t="shared" si="11"/>
        <v>1</v>
      </c>
      <c r="R23" s="66">
        <f t="shared" ref="R23:R61" si="19">V22</f>
        <v>8400</v>
      </c>
      <c r="S23" s="66">
        <f t="shared" si="12"/>
        <v>418.6</v>
      </c>
      <c r="T23" s="66">
        <f t="shared" si="13"/>
        <v>0</v>
      </c>
      <c r="U23" s="66">
        <f t="shared" si="14"/>
        <v>418.6</v>
      </c>
      <c r="V23" s="66">
        <f t="shared" si="15"/>
        <v>8400</v>
      </c>
      <c r="X23">
        <v>2</v>
      </c>
      <c r="Y23" s="66">
        <f t="shared" si="16"/>
        <v>1689.5680538748879</v>
      </c>
      <c r="Z23" s="66">
        <f t="shared" si="17"/>
        <v>840</v>
      </c>
      <c r="AA23" s="66">
        <f t="shared" si="18"/>
        <v>2529.5680538748879</v>
      </c>
      <c r="AB23" s="66" cm="1">
        <f t="array" ref="AB23">INDEX($G$22:$G$61,X23*4)</f>
        <v>7140</v>
      </c>
      <c r="AF23">
        <v>4</v>
      </c>
      <c r="AG23">
        <v>2</v>
      </c>
      <c r="AH23" s="66">
        <f t="shared" si="6"/>
        <v>8400</v>
      </c>
      <c r="AI23" s="15">
        <f t="shared" si="7"/>
        <v>682.10548276114309</v>
      </c>
      <c r="AJ23">
        <v>0</v>
      </c>
      <c r="AK23" s="15">
        <f t="shared" si="8"/>
        <v>682.10548276114309</v>
      </c>
      <c r="AM23">
        <v>8</v>
      </c>
      <c r="AN23" s="66">
        <f t="shared" si="0"/>
        <v>1364.2109655222862</v>
      </c>
      <c r="AO23">
        <f t="shared" si="1"/>
        <v>0</v>
      </c>
      <c r="AP23" s="66">
        <f t="shared" si="2"/>
        <v>1364.2109655222862</v>
      </c>
    </row>
    <row r="24" spans="1:43" x14ac:dyDescent="0.2">
      <c r="A24" s="68">
        <v>5</v>
      </c>
      <c r="B24" s="68">
        <v>2</v>
      </c>
      <c r="C24" s="69">
        <f t="shared" si="9"/>
        <v>8400</v>
      </c>
      <c r="D24" s="69">
        <f t="shared" si="10"/>
        <v>438.84884516230858</v>
      </c>
      <c r="E24" s="69">
        <f t="shared" si="3"/>
        <v>210</v>
      </c>
      <c r="F24" s="69">
        <f t="shared" si="4"/>
        <v>648.84884516230863</v>
      </c>
      <c r="G24" s="69">
        <f t="shared" si="5"/>
        <v>8190</v>
      </c>
      <c r="I24" s="68">
        <v>5</v>
      </c>
      <c r="J24" s="69">
        <f>SUM(D36:D39)</f>
        <v>1162.9494396801176</v>
      </c>
      <c r="K24" s="69">
        <f>SUM(E36:E39)</f>
        <v>840</v>
      </c>
      <c r="L24" s="69">
        <f>SUM(F36:F39)</f>
        <v>2002.9494396801176</v>
      </c>
      <c r="M24" s="69">
        <f>G39</f>
        <v>5040</v>
      </c>
      <c r="P24" s="79">
        <v>3</v>
      </c>
      <c r="Q24" s="79">
        <f t="shared" si="11"/>
        <v>1</v>
      </c>
      <c r="R24" s="80">
        <f t="shared" si="19"/>
        <v>8400</v>
      </c>
      <c r="S24" s="80">
        <f t="shared" si="12"/>
        <v>418.6</v>
      </c>
      <c r="T24" s="80">
        <f t="shared" si="13"/>
        <v>0</v>
      </c>
      <c r="U24" s="80">
        <f t="shared" si="14"/>
        <v>418.6</v>
      </c>
      <c r="V24" s="80">
        <f t="shared" si="15"/>
        <v>8400</v>
      </c>
      <c r="X24">
        <v>3</v>
      </c>
      <c r="Y24" s="66">
        <f t="shared" si="16"/>
        <v>1514.0285158099646</v>
      </c>
      <c r="Z24" s="66">
        <f t="shared" si="17"/>
        <v>840</v>
      </c>
      <c r="AA24" s="66">
        <f t="shared" si="18"/>
        <v>2354.0285158099646</v>
      </c>
      <c r="AB24" s="66" cm="1">
        <f t="array" ref="AB24">INDEX($G$22:$G$61,X24*4)</f>
        <v>6300</v>
      </c>
      <c r="AF24">
        <v>5</v>
      </c>
      <c r="AG24">
        <v>3</v>
      </c>
      <c r="AH24" s="66">
        <f t="shared" si="6"/>
        <v>8400</v>
      </c>
      <c r="AI24" s="15">
        <f t="shared" si="7"/>
        <v>682.10548276114309</v>
      </c>
      <c r="AJ24">
        <v>0</v>
      </c>
      <c r="AK24" s="15">
        <f t="shared" si="8"/>
        <v>682.10548276114309</v>
      </c>
      <c r="AM24">
        <v>9</v>
      </c>
      <c r="AN24" s="66">
        <f t="shared" si="0"/>
        <v>1364.2109655222862</v>
      </c>
      <c r="AO24">
        <f t="shared" si="1"/>
        <v>0</v>
      </c>
      <c r="AP24" s="66">
        <f t="shared" si="2"/>
        <v>1364.2109655222862</v>
      </c>
    </row>
    <row r="25" spans="1:43" x14ac:dyDescent="0.2">
      <c r="A25" s="68">
        <v>6</v>
      </c>
      <c r="B25" s="68">
        <v>2</v>
      </c>
      <c r="C25" s="69">
        <f t="shared" si="9"/>
        <v>8190</v>
      </c>
      <c r="D25" s="69">
        <f t="shared" si="10"/>
        <v>427.87762403325087</v>
      </c>
      <c r="E25" s="69">
        <f t="shared" si="3"/>
        <v>210</v>
      </c>
      <c r="F25" s="69">
        <f t="shared" si="4"/>
        <v>637.87762403325087</v>
      </c>
      <c r="G25" s="69">
        <f t="shared" si="5"/>
        <v>7980</v>
      </c>
      <c r="I25" s="68">
        <v>6</v>
      </c>
      <c r="J25" s="69">
        <f>SUM(D40:D43)</f>
        <v>987.40990161519426</v>
      </c>
      <c r="K25" s="69">
        <f>SUM(E40:E43)</f>
        <v>840</v>
      </c>
      <c r="L25" s="69">
        <f>SUM(F40:F43)</f>
        <v>1827.4099016151943</v>
      </c>
      <c r="M25" s="69">
        <f>G43</f>
        <v>4200</v>
      </c>
      <c r="P25">
        <v>4</v>
      </c>
      <c r="Q25">
        <f t="shared" si="11"/>
        <v>1</v>
      </c>
      <c r="R25" s="66">
        <f t="shared" si="19"/>
        <v>8400</v>
      </c>
      <c r="S25" s="66">
        <f t="shared" si="12"/>
        <v>418.6</v>
      </c>
      <c r="T25" s="66">
        <f t="shared" si="13"/>
        <v>0</v>
      </c>
      <c r="U25" s="66">
        <f t="shared" si="14"/>
        <v>418.6</v>
      </c>
      <c r="V25" s="66">
        <f t="shared" si="15"/>
        <v>8400</v>
      </c>
      <c r="X25">
        <v>4</v>
      </c>
      <c r="Y25" s="66">
        <f t="shared" si="16"/>
        <v>1338.4889777450412</v>
      </c>
      <c r="Z25" s="66">
        <f t="shared" si="17"/>
        <v>840</v>
      </c>
      <c r="AA25" s="66">
        <f t="shared" si="18"/>
        <v>2178.4889777450412</v>
      </c>
      <c r="AB25" s="66" cm="1">
        <f t="array" ref="AB25">INDEX($G$22:$G$61,X25*4)</f>
        <v>5460</v>
      </c>
      <c r="AF25">
        <v>6</v>
      </c>
      <c r="AG25">
        <v>3</v>
      </c>
      <c r="AH25" s="66">
        <f t="shared" si="6"/>
        <v>8400</v>
      </c>
      <c r="AI25" s="15">
        <f t="shared" si="7"/>
        <v>682.10548276114309</v>
      </c>
      <c r="AJ25">
        <v>0</v>
      </c>
      <c r="AK25" s="15">
        <f t="shared" si="8"/>
        <v>682.10548276114309</v>
      </c>
      <c r="AM25">
        <v>10</v>
      </c>
      <c r="AN25" s="66">
        <f t="shared" si="0"/>
        <v>1364.2109655222862</v>
      </c>
      <c r="AO25" s="42">
        <f t="shared" si="1"/>
        <v>8400</v>
      </c>
      <c r="AP25" s="66">
        <f t="shared" si="2"/>
        <v>9764.2109655222866</v>
      </c>
    </row>
    <row r="26" spans="1:43" x14ac:dyDescent="0.2">
      <c r="A26" s="68">
        <v>7</v>
      </c>
      <c r="B26" s="68">
        <v>2</v>
      </c>
      <c r="C26" s="69">
        <f t="shared" si="9"/>
        <v>7980</v>
      </c>
      <c r="D26" s="69">
        <f t="shared" si="10"/>
        <v>416.90640290419316</v>
      </c>
      <c r="E26" s="69">
        <f t="shared" si="3"/>
        <v>210</v>
      </c>
      <c r="F26" s="69">
        <f t="shared" si="4"/>
        <v>626.9064029041931</v>
      </c>
      <c r="G26" s="69">
        <f t="shared" si="5"/>
        <v>7770</v>
      </c>
      <c r="I26" s="68">
        <v>7</v>
      </c>
      <c r="J26" s="69">
        <f>SUM(D44:D47)</f>
        <v>811.87036355027089</v>
      </c>
      <c r="K26" s="69">
        <f>SUM(E44:E47)</f>
        <v>840</v>
      </c>
      <c r="L26" s="69">
        <f>SUM(F44:F47)</f>
        <v>1651.8703635502709</v>
      </c>
      <c r="M26" s="69">
        <f>G47</f>
        <v>3360</v>
      </c>
      <c r="P26" s="79">
        <v>5</v>
      </c>
      <c r="Q26" s="79">
        <f t="shared" si="11"/>
        <v>2</v>
      </c>
      <c r="R26" s="80">
        <f t="shared" si="19"/>
        <v>8400</v>
      </c>
      <c r="S26" s="80">
        <f t="shared" si="12"/>
        <v>418.6</v>
      </c>
      <c r="T26" s="80">
        <f t="shared" si="13"/>
        <v>0</v>
      </c>
      <c r="U26" s="80">
        <f t="shared" si="14"/>
        <v>418.6</v>
      </c>
      <c r="V26" s="80">
        <f t="shared" si="15"/>
        <v>8400</v>
      </c>
      <c r="X26">
        <v>5</v>
      </c>
      <c r="Y26" s="66">
        <f t="shared" si="16"/>
        <v>1162.9494396801176</v>
      </c>
      <c r="Z26" s="66">
        <f t="shared" si="17"/>
        <v>840</v>
      </c>
      <c r="AA26" s="66">
        <f t="shared" si="18"/>
        <v>2002.9494396801176</v>
      </c>
      <c r="AB26" s="66" cm="1">
        <f t="array" ref="AB26">INDEX($G$22:$G$61,X26*4)</f>
        <v>4620</v>
      </c>
      <c r="AF26">
        <v>7</v>
      </c>
      <c r="AG26">
        <v>4</v>
      </c>
      <c r="AH26" s="66">
        <f t="shared" si="6"/>
        <v>8400</v>
      </c>
      <c r="AI26" s="15">
        <f t="shared" si="7"/>
        <v>682.10548276114309</v>
      </c>
      <c r="AJ26">
        <v>0</v>
      </c>
      <c r="AK26" s="15">
        <f t="shared" si="8"/>
        <v>682.10548276114309</v>
      </c>
      <c r="AM26" s="90" t="s">
        <v>252</v>
      </c>
      <c r="AN26" s="91">
        <f>SUM(AN16:AN25)</f>
        <v>13642.109655222865</v>
      </c>
      <c r="AO26" s="91">
        <f>SUM(AO16:AO25)</f>
        <v>8400</v>
      </c>
      <c r="AP26" s="91">
        <f>SUM(AP16:AP25)</f>
        <v>22042.109655222863</v>
      </c>
      <c r="AQ26" s="91"/>
    </row>
    <row r="27" spans="1:43" x14ac:dyDescent="0.2">
      <c r="A27" s="68">
        <v>8</v>
      </c>
      <c r="B27" s="68">
        <v>2</v>
      </c>
      <c r="C27" s="69">
        <f t="shared" si="9"/>
        <v>7770</v>
      </c>
      <c r="D27" s="69">
        <f t="shared" si="10"/>
        <v>405.93518177513545</v>
      </c>
      <c r="E27" s="69">
        <f t="shared" si="3"/>
        <v>210</v>
      </c>
      <c r="F27" s="69">
        <f t="shared" si="4"/>
        <v>615.93518177513545</v>
      </c>
      <c r="G27" s="69">
        <f t="shared" si="5"/>
        <v>7560</v>
      </c>
      <c r="I27" s="68">
        <v>8</v>
      </c>
      <c r="J27" s="69">
        <f>SUM(D48:D51)</f>
        <v>636.33082548534753</v>
      </c>
      <c r="K27" s="69">
        <f>SUM(E48:E51)</f>
        <v>840</v>
      </c>
      <c r="L27" s="69">
        <f>SUM(F48:F51)</f>
        <v>1476.3308254853475</v>
      </c>
      <c r="M27" s="69">
        <f>G51</f>
        <v>2520</v>
      </c>
      <c r="P27">
        <v>6</v>
      </c>
      <c r="Q27">
        <f t="shared" si="11"/>
        <v>2</v>
      </c>
      <c r="R27" s="66">
        <f t="shared" si="19"/>
        <v>8400</v>
      </c>
      <c r="S27" s="66">
        <f t="shared" si="12"/>
        <v>418.6</v>
      </c>
      <c r="T27" s="66">
        <f t="shared" si="13"/>
        <v>0</v>
      </c>
      <c r="U27" s="66">
        <f t="shared" si="14"/>
        <v>418.6</v>
      </c>
      <c r="V27" s="66">
        <f t="shared" si="15"/>
        <v>8400</v>
      </c>
      <c r="X27">
        <v>6</v>
      </c>
      <c r="Y27" s="66">
        <f t="shared" si="16"/>
        <v>987.40990161519426</v>
      </c>
      <c r="Z27" s="66">
        <f t="shared" si="17"/>
        <v>840</v>
      </c>
      <c r="AA27" s="66">
        <f t="shared" si="18"/>
        <v>1827.4099016151943</v>
      </c>
      <c r="AB27" s="66" cm="1">
        <f t="array" ref="AB27">INDEX($G$22:$G$61,X27*4)</f>
        <v>3780</v>
      </c>
      <c r="AF27">
        <v>8</v>
      </c>
      <c r="AG27">
        <v>4</v>
      </c>
      <c r="AH27" s="66">
        <f t="shared" si="6"/>
        <v>8400</v>
      </c>
      <c r="AI27" s="15">
        <f t="shared" si="7"/>
        <v>682.10548276114309</v>
      </c>
      <c r="AJ27">
        <v>0</v>
      </c>
      <c r="AK27" s="15">
        <f t="shared" si="8"/>
        <v>682.10548276114309</v>
      </c>
    </row>
    <row r="28" spans="1:43" x14ac:dyDescent="0.2">
      <c r="A28" s="68">
        <v>9</v>
      </c>
      <c r="B28" s="68">
        <v>3</v>
      </c>
      <c r="C28" s="69">
        <f t="shared" si="9"/>
        <v>7560</v>
      </c>
      <c r="D28" s="69">
        <f t="shared" si="10"/>
        <v>394.96396064607774</v>
      </c>
      <c r="E28" s="69">
        <f t="shared" si="3"/>
        <v>210</v>
      </c>
      <c r="F28" s="69">
        <f t="shared" si="4"/>
        <v>604.96396064607779</v>
      </c>
      <c r="G28" s="69">
        <f t="shared" si="5"/>
        <v>7350</v>
      </c>
      <c r="I28" s="68">
        <v>9</v>
      </c>
      <c r="J28" s="69">
        <f>SUM(D52:D55)</f>
        <v>460.79128742042406</v>
      </c>
      <c r="K28" s="69">
        <f>SUM(E52:E55)</f>
        <v>840</v>
      </c>
      <c r="L28" s="69">
        <f>SUM(F52:F55)</f>
        <v>1300.7912874204242</v>
      </c>
      <c r="M28" s="69">
        <f>G55</f>
        <v>1680</v>
      </c>
      <c r="P28" s="79">
        <v>7</v>
      </c>
      <c r="Q28" s="79">
        <f t="shared" si="11"/>
        <v>2</v>
      </c>
      <c r="R28" s="80">
        <f t="shared" si="19"/>
        <v>8400</v>
      </c>
      <c r="S28" s="80">
        <f t="shared" si="12"/>
        <v>418.6</v>
      </c>
      <c r="T28" s="80">
        <f t="shared" si="13"/>
        <v>0</v>
      </c>
      <c r="U28" s="80">
        <f t="shared" si="14"/>
        <v>418.6</v>
      </c>
      <c r="V28" s="80">
        <f t="shared" si="15"/>
        <v>8400</v>
      </c>
      <c r="X28">
        <v>7</v>
      </c>
      <c r="Y28" s="66">
        <f t="shared" si="16"/>
        <v>811.87036355027089</v>
      </c>
      <c r="Z28" s="66">
        <f t="shared" si="17"/>
        <v>840</v>
      </c>
      <c r="AA28" s="66">
        <f t="shared" si="18"/>
        <v>1651.8703635502709</v>
      </c>
      <c r="AB28" s="66" cm="1">
        <f t="array" ref="AB28">INDEX($G$22:$G$61,X28*4)</f>
        <v>2940</v>
      </c>
      <c r="AF28">
        <v>9</v>
      </c>
      <c r="AG28">
        <v>5</v>
      </c>
      <c r="AH28" s="66">
        <f t="shared" si="6"/>
        <v>8400</v>
      </c>
      <c r="AI28" s="15">
        <f t="shared" si="7"/>
        <v>682.10548276114309</v>
      </c>
      <c r="AJ28">
        <v>0</v>
      </c>
      <c r="AK28" s="15">
        <f t="shared" si="8"/>
        <v>682.10548276114309</v>
      </c>
    </row>
    <row r="29" spans="1:43" x14ac:dyDescent="0.2">
      <c r="A29" s="68">
        <v>10</v>
      </c>
      <c r="B29" s="68">
        <v>3</v>
      </c>
      <c r="C29" s="69">
        <f t="shared" si="9"/>
        <v>7350</v>
      </c>
      <c r="D29" s="69">
        <f t="shared" si="10"/>
        <v>383.99273951702003</v>
      </c>
      <c r="E29" s="69">
        <f t="shared" si="3"/>
        <v>210</v>
      </c>
      <c r="F29" s="69">
        <f t="shared" si="4"/>
        <v>593.99273951702003</v>
      </c>
      <c r="G29" s="69">
        <f t="shared" si="5"/>
        <v>7140</v>
      </c>
      <c r="I29" s="68">
        <v>10</v>
      </c>
      <c r="J29" s="69">
        <f>SUM(D56:D59)</f>
        <v>219.42442258115429</v>
      </c>
      <c r="K29" s="69">
        <f>SUM(E56:E59)</f>
        <v>1680</v>
      </c>
      <c r="L29" s="69">
        <f>SUM(F56:F59)</f>
        <v>1899.4244225811544</v>
      </c>
      <c r="M29" s="69">
        <f>G59</f>
        <v>0</v>
      </c>
      <c r="P29">
        <v>8</v>
      </c>
      <c r="Q29">
        <f t="shared" si="11"/>
        <v>2</v>
      </c>
      <c r="R29" s="66">
        <f t="shared" si="19"/>
        <v>8400</v>
      </c>
      <c r="S29" s="66">
        <f t="shared" si="12"/>
        <v>418.6</v>
      </c>
      <c r="T29" s="66">
        <f t="shared" si="13"/>
        <v>0</v>
      </c>
      <c r="U29" s="66">
        <f t="shared" si="14"/>
        <v>418.6</v>
      </c>
      <c r="V29" s="66">
        <f t="shared" si="15"/>
        <v>8400</v>
      </c>
      <c r="X29">
        <v>8</v>
      </c>
      <c r="Y29" s="66">
        <f t="shared" si="16"/>
        <v>636.33082548534753</v>
      </c>
      <c r="Z29" s="66">
        <f t="shared" si="17"/>
        <v>840</v>
      </c>
      <c r="AA29" s="66">
        <f t="shared" si="18"/>
        <v>1476.3308254853475</v>
      </c>
      <c r="AB29" s="66" cm="1">
        <f t="array" ref="AB29">INDEX($G$22:$G$61,X29*4)</f>
        <v>2100</v>
      </c>
      <c r="AF29">
        <v>10</v>
      </c>
      <c r="AG29">
        <v>5</v>
      </c>
      <c r="AH29" s="66">
        <f t="shared" si="6"/>
        <v>8400</v>
      </c>
      <c r="AI29" s="15">
        <f t="shared" si="7"/>
        <v>682.10548276114309</v>
      </c>
      <c r="AJ29">
        <v>0</v>
      </c>
      <c r="AK29" s="15">
        <f t="shared" si="8"/>
        <v>682.10548276114309</v>
      </c>
    </row>
    <row r="30" spans="1:43" x14ac:dyDescent="0.2">
      <c r="A30" s="68">
        <v>11</v>
      </c>
      <c r="B30" s="68">
        <v>3</v>
      </c>
      <c r="C30" s="69">
        <f t="shared" si="9"/>
        <v>7140</v>
      </c>
      <c r="D30" s="69">
        <f t="shared" si="10"/>
        <v>373.02151838796232</v>
      </c>
      <c r="E30" s="69">
        <f t="shared" si="3"/>
        <v>210</v>
      </c>
      <c r="F30" s="69">
        <f t="shared" si="4"/>
        <v>583.02151838796226</v>
      </c>
      <c r="G30" s="69">
        <f t="shared" si="5"/>
        <v>6930</v>
      </c>
      <c r="I30" s="70" t="s">
        <v>252</v>
      </c>
      <c r="J30" s="71">
        <f>SUM(J20:J29)</f>
        <v>10576.257168411637</v>
      </c>
      <c r="K30" s="71">
        <f>SUM(K20:K29)</f>
        <v>8400</v>
      </c>
      <c r="L30" s="71">
        <f>SUM(L20:L29)</f>
        <v>18976.257168411634</v>
      </c>
      <c r="M30" s="70"/>
      <c r="P30" s="79">
        <v>9</v>
      </c>
      <c r="Q30" s="79">
        <f t="shared" si="11"/>
        <v>3</v>
      </c>
      <c r="R30" s="80">
        <f t="shared" si="19"/>
        <v>8400</v>
      </c>
      <c r="S30" s="80">
        <f t="shared" si="12"/>
        <v>418.6</v>
      </c>
      <c r="T30" s="80">
        <f t="shared" si="13"/>
        <v>111.901256126372</v>
      </c>
      <c r="U30" s="80">
        <f t="shared" si="14"/>
        <v>530.50125612637203</v>
      </c>
      <c r="V30" s="80">
        <f t="shared" si="15"/>
        <v>8288.0987438736283</v>
      </c>
      <c r="X30">
        <v>9</v>
      </c>
      <c r="Y30" s="66">
        <f t="shared" si="16"/>
        <v>460.79128742042406</v>
      </c>
      <c r="Z30" s="66">
        <f t="shared" si="17"/>
        <v>840</v>
      </c>
      <c r="AA30" s="66">
        <f t="shared" si="18"/>
        <v>1300.7912874204242</v>
      </c>
      <c r="AB30" s="66" cm="1">
        <f t="array" ref="AB30">INDEX($G$22:$G$61,X30*4)</f>
        <v>840</v>
      </c>
      <c r="AF30">
        <v>11</v>
      </c>
      <c r="AG30">
        <v>6</v>
      </c>
      <c r="AH30" s="66">
        <f t="shared" si="6"/>
        <v>8400</v>
      </c>
      <c r="AI30" s="15">
        <f t="shared" si="7"/>
        <v>682.10548276114309</v>
      </c>
      <c r="AJ30">
        <v>0</v>
      </c>
      <c r="AK30" s="15">
        <f t="shared" si="8"/>
        <v>682.10548276114309</v>
      </c>
    </row>
    <row r="31" spans="1:43" x14ac:dyDescent="0.2">
      <c r="A31" s="68">
        <v>12</v>
      </c>
      <c r="B31" s="68">
        <v>3</v>
      </c>
      <c r="C31" s="69">
        <f t="shared" si="9"/>
        <v>6930</v>
      </c>
      <c r="D31" s="69">
        <f t="shared" si="10"/>
        <v>362.05029725890461</v>
      </c>
      <c r="E31" s="69">
        <f t="shared" si="3"/>
        <v>210</v>
      </c>
      <c r="F31" s="69">
        <f t="shared" si="4"/>
        <v>572.05029725890461</v>
      </c>
      <c r="G31" s="69">
        <f t="shared" si="5"/>
        <v>6720</v>
      </c>
      <c r="P31">
        <v>10</v>
      </c>
      <c r="Q31">
        <f t="shared" si="11"/>
        <v>3</v>
      </c>
      <c r="R31" s="66">
        <f t="shared" si="19"/>
        <v>8288.0987438736283</v>
      </c>
      <c r="S31" s="66">
        <f t="shared" si="12"/>
        <v>413.02358740303583</v>
      </c>
      <c r="T31" s="66">
        <f t="shared" si="13"/>
        <v>117.47766872333619</v>
      </c>
      <c r="U31" s="66">
        <f t="shared" si="14"/>
        <v>530.50125612637203</v>
      </c>
      <c r="V31" s="66">
        <f t="shared" si="15"/>
        <v>8170.6210751502922</v>
      </c>
      <c r="X31">
        <v>10</v>
      </c>
      <c r="Y31" s="66">
        <f t="shared" si="16"/>
        <v>219.42442258115429</v>
      </c>
      <c r="Z31" s="66">
        <f t="shared" si="17"/>
        <v>1680</v>
      </c>
      <c r="AA31" s="66">
        <f t="shared" si="18"/>
        <v>1899.4244225811544</v>
      </c>
      <c r="AB31" s="66" cm="1">
        <f t="array" ref="AB31">INDEX($G$22:$G$61,X31*4)</f>
        <v>0</v>
      </c>
      <c r="AF31">
        <v>12</v>
      </c>
      <c r="AG31">
        <v>6</v>
      </c>
      <c r="AH31" s="66">
        <f t="shared" si="6"/>
        <v>8400</v>
      </c>
      <c r="AI31" s="15">
        <f t="shared" si="7"/>
        <v>682.10548276114309</v>
      </c>
      <c r="AJ31">
        <v>0</v>
      </c>
      <c r="AK31" s="15">
        <f t="shared" si="8"/>
        <v>682.10548276114309</v>
      </c>
    </row>
    <row r="32" spans="1:43" x14ac:dyDescent="0.2">
      <c r="A32" s="68">
        <v>13</v>
      </c>
      <c r="B32" s="68">
        <v>4</v>
      </c>
      <c r="C32" s="69">
        <f t="shared" si="9"/>
        <v>6720</v>
      </c>
      <c r="D32" s="69">
        <f t="shared" si="10"/>
        <v>351.0790761298469</v>
      </c>
      <c r="E32" s="69">
        <f t="shared" si="3"/>
        <v>210</v>
      </c>
      <c r="F32" s="69">
        <f t="shared" si="4"/>
        <v>561.07907612984695</v>
      </c>
      <c r="G32" s="69">
        <f t="shared" si="5"/>
        <v>6510</v>
      </c>
      <c r="I32" s="163" t="s">
        <v>253</v>
      </c>
      <c r="J32" s="163"/>
      <c r="K32" s="163"/>
      <c r="L32" s="163"/>
      <c r="M32" s="163"/>
      <c r="P32" s="79">
        <v>11</v>
      </c>
      <c r="Q32" s="79">
        <f t="shared" si="11"/>
        <v>3</v>
      </c>
      <c r="R32" s="80">
        <f t="shared" si="19"/>
        <v>8170.6210751502922</v>
      </c>
      <c r="S32" s="80">
        <f t="shared" si="12"/>
        <v>407.1692835783229</v>
      </c>
      <c r="T32" s="80">
        <f t="shared" si="13"/>
        <v>123.33197254804912</v>
      </c>
      <c r="U32" s="80">
        <f t="shared" si="14"/>
        <v>530.50125612637203</v>
      </c>
      <c r="V32" s="80">
        <f t="shared" si="15"/>
        <v>8047.2891026022435</v>
      </c>
      <c r="X32" s="81" t="s">
        <v>252</v>
      </c>
      <c r="Y32" s="82">
        <f>SUM(Y22:Y31)</f>
        <v>9698.5594780870197</v>
      </c>
      <c r="Z32" s="82">
        <f>SUM(Z22:Z31)</f>
        <v>8400</v>
      </c>
      <c r="AA32" s="82">
        <f>SUM(AA22:AA31)</f>
        <v>18098.559478087023</v>
      </c>
      <c r="AB32" s="82"/>
      <c r="AF32">
        <v>13</v>
      </c>
      <c r="AG32">
        <v>7</v>
      </c>
      <c r="AH32" s="66">
        <f t="shared" si="6"/>
        <v>8400</v>
      </c>
      <c r="AI32" s="15">
        <f t="shared" si="7"/>
        <v>682.10548276114309</v>
      </c>
      <c r="AJ32">
        <v>0</v>
      </c>
      <c r="AK32" s="15">
        <f t="shared" si="8"/>
        <v>682.10548276114309</v>
      </c>
    </row>
    <row r="33" spans="1:37" x14ac:dyDescent="0.2">
      <c r="A33" s="68">
        <v>14</v>
      </c>
      <c r="B33" s="68">
        <v>4</v>
      </c>
      <c r="C33" s="69">
        <f t="shared" si="9"/>
        <v>6510</v>
      </c>
      <c r="D33" s="69">
        <f t="shared" si="10"/>
        <v>340.10785500078913</v>
      </c>
      <c r="E33" s="69">
        <f t="shared" si="3"/>
        <v>210</v>
      </c>
      <c r="F33" s="69">
        <f t="shared" si="4"/>
        <v>550.10785500078919</v>
      </c>
      <c r="G33" s="69">
        <f t="shared" si="5"/>
        <v>6300</v>
      </c>
      <c r="I33" s="72" t="s">
        <v>183</v>
      </c>
      <c r="J33" s="72" t="s">
        <v>254</v>
      </c>
      <c r="K33" s="72" t="s">
        <v>255</v>
      </c>
      <c r="L33" s="72" t="s">
        <v>256</v>
      </c>
      <c r="M33" s="72"/>
      <c r="P33">
        <v>12</v>
      </c>
      <c r="Q33">
        <f t="shared" si="11"/>
        <v>3</v>
      </c>
      <c r="R33" s="66">
        <f t="shared" si="19"/>
        <v>8047.2891026022435</v>
      </c>
      <c r="S33" s="66">
        <f t="shared" si="12"/>
        <v>401.02324027967848</v>
      </c>
      <c r="T33" s="66">
        <f t="shared" si="13"/>
        <v>129.47801584669355</v>
      </c>
      <c r="U33" s="66">
        <f t="shared" si="14"/>
        <v>530.50125612637203</v>
      </c>
      <c r="V33" s="66">
        <f t="shared" si="15"/>
        <v>7917.8110867555497</v>
      </c>
      <c r="AF33">
        <v>14</v>
      </c>
      <c r="AG33">
        <v>7</v>
      </c>
      <c r="AH33" s="66">
        <f t="shared" si="6"/>
        <v>8400</v>
      </c>
      <c r="AI33" s="15">
        <f t="shared" si="7"/>
        <v>682.10548276114309</v>
      </c>
      <c r="AJ33">
        <v>0</v>
      </c>
      <c r="AK33" s="15">
        <f t="shared" si="8"/>
        <v>682.10548276114309</v>
      </c>
    </row>
    <row r="34" spans="1:37" x14ac:dyDescent="0.2">
      <c r="A34" s="68">
        <v>15</v>
      </c>
      <c r="B34" s="68">
        <v>4</v>
      </c>
      <c r="C34" s="69">
        <f t="shared" si="9"/>
        <v>6300</v>
      </c>
      <c r="D34" s="69">
        <f t="shared" si="10"/>
        <v>329.13663387173142</v>
      </c>
      <c r="E34" s="69">
        <f t="shared" si="3"/>
        <v>210</v>
      </c>
      <c r="F34" s="69">
        <f t="shared" si="4"/>
        <v>539.13663387173142</v>
      </c>
      <c r="G34" s="69">
        <f t="shared" si="5"/>
        <v>6090</v>
      </c>
      <c r="I34">
        <v>1</v>
      </c>
      <c r="J34" s="36">
        <v>0</v>
      </c>
      <c r="K34" s="66">
        <f>B12*0</f>
        <v>0</v>
      </c>
      <c r="L34" t="s">
        <v>257</v>
      </c>
      <c r="P34" s="79">
        <v>13</v>
      </c>
      <c r="Q34" s="79">
        <f t="shared" si="11"/>
        <v>4</v>
      </c>
      <c r="R34" s="80">
        <f t="shared" si="19"/>
        <v>7917.8110867555497</v>
      </c>
      <c r="S34" s="80">
        <f t="shared" si="12"/>
        <v>394.57091915665154</v>
      </c>
      <c r="T34" s="80">
        <f t="shared" si="13"/>
        <v>135.93033696972049</v>
      </c>
      <c r="U34" s="80">
        <f t="shared" si="14"/>
        <v>530.50125612637203</v>
      </c>
      <c r="V34" s="80">
        <f t="shared" si="15"/>
        <v>7781.8807497858288</v>
      </c>
      <c r="AF34">
        <v>15</v>
      </c>
      <c r="AG34">
        <v>8</v>
      </c>
      <c r="AH34" s="66">
        <f t="shared" si="6"/>
        <v>8400</v>
      </c>
      <c r="AI34" s="15">
        <f t="shared" si="7"/>
        <v>682.10548276114309</v>
      </c>
      <c r="AJ34">
        <v>0</v>
      </c>
      <c r="AK34" s="15">
        <f t="shared" si="8"/>
        <v>682.10548276114309</v>
      </c>
    </row>
    <row r="35" spans="1:37" x14ac:dyDescent="0.2">
      <c r="A35" s="68">
        <v>16</v>
      </c>
      <c r="B35" s="68">
        <v>4</v>
      </c>
      <c r="C35" s="69">
        <f t="shared" si="9"/>
        <v>6090</v>
      </c>
      <c r="D35" s="69">
        <f t="shared" si="10"/>
        <v>318.16541274267371</v>
      </c>
      <c r="E35" s="69">
        <f t="shared" si="3"/>
        <v>210</v>
      </c>
      <c r="F35" s="69">
        <f t="shared" si="4"/>
        <v>528.16541274267365</v>
      </c>
      <c r="G35" s="69">
        <f t="shared" si="5"/>
        <v>5880</v>
      </c>
      <c r="I35">
        <v>2</v>
      </c>
      <c r="J35" s="36">
        <v>0.1</v>
      </c>
      <c r="K35" s="66">
        <f>B12*0.1</f>
        <v>840</v>
      </c>
      <c r="L35" t="s">
        <v>258</v>
      </c>
      <c r="P35">
        <v>14</v>
      </c>
      <c r="Q35">
        <f t="shared" si="11"/>
        <v>4</v>
      </c>
      <c r="R35" s="66">
        <f t="shared" si="19"/>
        <v>7781.8807497858288</v>
      </c>
      <c r="S35" s="66">
        <f t="shared" si="12"/>
        <v>387.79705736432715</v>
      </c>
      <c r="T35" s="66">
        <f t="shared" si="13"/>
        <v>142.70419876204488</v>
      </c>
      <c r="U35" s="66">
        <f t="shared" si="14"/>
        <v>530.50125612637203</v>
      </c>
      <c r="V35" s="66">
        <f t="shared" si="15"/>
        <v>7639.1765510237838</v>
      </c>
      <c r="AF35">
        <v>16</v>
      </c>
      <c r="AG35">
        <v>8</v>
      </c>
      <c r="AH35" s="66">
        <f t="shared" si="6"/>
        <v>8400</v>
      </c>
      <c r="AI35" s="15">
        <f t="shared" si="7"/>
        <v>682.10548276114309</v>
      </c>
      <c r="AJ35">
        <v>0</v>
      </c>
      <c r="AK35" s="15">
        <f t="shared" si="8"/>
        <v>682.10548276114309</v>
      </c>
    </row>
    <row r="36" spans="1:37" x14ac:dyDescent="0.2">
      <c r="A36" s="68">
        <v>17</v>
      </c>
      <c r="B36" s="68">
        <v>5</v>
      </c>
      <c r="C36" s="69">
        <f t="shared" si="9"/>
        <v>5880</v>
      </c>
      <c r="D36" s="69">
        <f t="shared" si="10"/>
        <v>307.194191613616</v>
      </c>
      <c r="E36" s="69">
        <f t="shared" si="3"/>
        <v>210</v>
      </c>
      <c r="F36" s="69">
        <f t="shared" si="4"/>
        <v>517.194191613616</v>
      </c>
      <c r="G36" s="69">
        <f t="shared" si="5"/>
        <v>5670</v>
      </c>
      <c r="I36">
        <v>3</v>
      </c>
      <c r="J36" s="36">
        <v>0.1</v>
      </c>
      <c r="K36" s="66">
        <f>B12*0.1</f>
        <v>840</v>
      </c>
      <c r="L36" t="s">
        <v>258</v>
      </c>
      <c r="P36" s="79">
        <v>15</v>
      </c>
      <c r="Q36" s="79">
        <f t="shared" si="11"/>
        <v>4</v>
      </c>
      <c r="R36" s="80">
        <f t="shared" si="19"/>
        <v>7639.1765510237838</v>
      </c>
      <c r="S36" s="80">
        <f t="shared" si="12"/>
        <v>380.6856314593519</v>
      </c>
      <c r="T36" s="80">
        <f t="shared" si="13"/>
        <v>149.81562466702013</v>
      </c>
      <c r="U36" s="80">
        <f t="shared" si="14"/>
        <v>530.50125612637203</v>
      </c>
      <c r="V36" s="80">
        <f t="shared" si="15"/>
        <v>7489.3609263567632</v>
      </c>
      <c r="AF36">
        <v>17</v>
      </c>
      <c r="AG36">
        <v>9</v>
      </c>
      <c r="AH36" s="66">
        <f t="shared" si="6"/>
        <v>8400</v>
      </c>
      <c r="AI36" s="15">
        <f t="shared" si="7"/>
        <v>682.10548276114309</v>
      </c>
      <c r="AJ36">
        <v>0</v>
      </c>
      <c r="AK36" s="15">
        <f t="shared" si="8"/>
        <v>682.10548276114309</v>
      </c>
    </row>
    <row r="37" spans="1:37" x14ac:dyDescent="0.2">
      <c r="A37" s="68">
        <v>18</v>
      </c>
      <c r="B37" s="68">
        <v>5</v>
      </c>
      <c r="C37" s="69">
        <f t="shared" si="9"/>
        <v>5670</v>
      </c>
      <c r="D37" s="69">
        <f t="shared" si="10"/>
        <v>296.22297048455829</v>
      </c>
      <c r="E37" s="69">
        <f t="shared" si="3"/>
        <v>210</v>
      </c>
      <c r="F37" s="69">
        <f t="shared" si="4"/>
        <v>506.22297048455829</v>
      </c>
      <c r="G37" s="69">
        <f t="shared" si="5"/>
        <v>5460</v>
      </c>
      <c r="I37">
        <v>4</v>
      </c>
      <c r="J37" s="36">
        <v>0.1</v>
      </c>
      <c r="K37" s="66">
        <f>B12*0.1</f>
        <v>840</v>
      </c>
      <c r="L37" t="s">
        <v>258</v>
      </c>
      <c r="P37">
        <v>16</v>
      </c>
      <c r="Q37">
        <f t="shared" si="11"/>
        <v>4</v>
      </c>
      <c r="R37" s="66">
        <f t="shared" si="19"/>
        <v>7489.3609263567632</v>
      </c>
      <c r="S37" s="66">
        <f t="shared" si="12"/>
        <v>373.21981949677871</v>
      </c>
      <c r="T37" s="66">
        <f t="shared" si="13"/>
        <v>157.28143662959332</v>
      </c>
      <c r="U37" s="66">
        <f t="shared" si="14"/>
        <v>530.50125612637203</v>
      </c>
      <c r="V37" s="66">
        <f t="shared" si="15"/>
        <v>7332.0794897271699</v>
      </c>
      <c r="AF37">
        <v>18</v>
      </c>
      <c r="AG37">
        <v>9</v>
      </c>
      <c r="AH37" s="66">
        <f t="shared" si="6"/>
        <v>8400</v>
      </c>
      <c r="AI37" s="15">
        <f t="shared" si="7"/>
        <v>682.10548276114309</v>
      </c>
      <c r="AJ37">
        <v>0</v>
      </c>
      <c r="AK37" s="15">
        <f t="shared" si="8"/>
        <v>682.10548276114309</v>
      </c>
    </row>
    <row r="38" spans="1:37" x14ac:dyDescent="0.2">
      <c r="A38" s="68">
        <v>19</v>
      </c>
      <c r="B38" s="68">
        <v>5</v>
      </c>
      <c r="C38" s="69">
        <f t="shared" si="9"/>
        <v>5460</v>
      </c>
      <c r="D38" s="69">
        <f t="shared" si="10"/>
        <v>285.25174935550058</v>
      </c>
      <c r="E38" s="69">
        <f t="shared" si="3"/>
        <v>210</v>
      </c>
      <c r="F38" s="69">
        <f t="shared" si="4"/>
        <v>495.25174935550058</v>
      </c>
      <c r="G38" s="69">
        <f t="shared" si="5"/>
        <v>5250</v>
      </c>
      <c r="I38">
        <v>5</v>
      </c>
      <c r="J38" s="36">
        <v>0.1</v>
      </c>
      <c r="K38" s="66">
        <f>B12*0.1</f>
        <v>840</v>
      </c>
      <c r="L38" t="s">
        <v>258</v>
      </c>
      <c r="P38" s="79">
        <v>17</v>
      </c>
      <c r="Q38" s="79">
        <f t="shared" si="11"/>
        <v>5</v>
      </c>
      <c r="R38" s="80">
        <f t="shared" si="19"/>
        <v>7332.0794897271699</v>
      </c>
      <c r="S38" s="80">
        <f t="shared" si="12"/>
        <v>365.38196123807063</v>
      </c>
      <c r="T38" s="80">
        <f t="shared" si="13"/>
        <v>165.1192948883014</v>
      </c>
      <c r="U38" s="80">
        <f t="shared" si="14"/>
        <v>530.50125612637203</v>
      </c>
      <c r="V38" s="80">
        <f t="shared" si="15"/>
        <v>7166.9601948388681</v>
      </c>
      <c r="AF38">
        <v>19</v>
      </c>
      <c r="AG38">
        <v>10</v>
      </c>
      <c r="AH38" s="66">
        <f t="shared" si="6"/>
        <v>8400</v>
      </c>
      <c r="AI38" s="15">
        <f t="shared" si="7"/>
        <v>682.10548276114309</v>
      </c>
      <c r="AJ38">
        <v>0</v>
      </c>
      <c r="AK38" s="15">
        <f t="shared" si="8"/>
        <v>682.10548276114309</v>
      </c>
    </row>
    <row r="39" spans="1:37" x14ac:dyDescent="0.2">
      <c r="A39" s="68">
        <v>20</v>
      </c>
      <c r="B39" s="68">
        <v>5</v>
      </c>
      <c r="C39" s="69">
        <f t="shared" si="9"/>
        <v>5250</v>
      </c>
      <c r="D39" s="69">
        <f t="shared" si="10"/>
        <v>274.28052822644287</v>
      </c>
      <c r="E39" s="69">
        <f t="shared" si="3"/>
        <v>210</v>
      </c>
      <c r="F39" s="69">
        <f t="shared" si="4"/>
        <v>484.28052822644287</v>
      </c>
      <c r="G39" s="69">
        <f t="shared" si="5"/>
        <v>5040</v>
      </c>
      <c r="I39">
        <v>6</v>
      </c>
      <c r="J39" s="36">
        <v>0.1</v>
      </c>
      <c r="K39" s="66">
        <f>B12*0.1</f>
        <v>840</v>
      </c>
      <c r="L39" t="s">
        <v>258</v>
      </c>
      <c r="P39">
        <v>18</v>
      </c>
      <c r="Q39">
        <f t="shared" si="11"/>
        <v>5</v>
      </c>
      <c r="R39" s="66">
        <f t="shared" si="19"/>
        <v>7166.9601948388681</v>
      </c>
      <c r="S39" s="66">
        <f t="shared" si="12"/>
        <v>357.15351637613691</v>
      </c>
      <c r="T39" s="66">
        <f t="shared" si="13"/>
        <v>173.34773975023512</v>
      </c>
      <c r="U39" s="66">
        <f t="shared" si="14"/>
        <v>530.50125612637203</v>
      </c>
      <c r="V39" s="66">
        <f t="shared" si="15"/>
        <v>6993.6124550886334</v>
      </c>
      <c r="AF39">
        <v>20</v>
      </c>
      <c r="AG39">
        <v>10</v>
      </c>
      <c r="AH39" s="66">
        <f t="shared" si="6"/>
        <v>8400</v>
      </c>
      <c r="AI39" s="15">
        <f t="shared" si="7"/>
        <v>682.10548276114309</v>
      </c>
      <c r="AJ39" s="66">
        <f>+AG10</f>
        <v>8400</v>
      </c>
      <c r="AK39" s="15">
        <f t="shared" si="8"/>
        <v>9082.1054827611424</v>
      </c>
    </row>
    <row r="40" spans="1:37" x14ac:dyDescent="0.2">
      <c r="A40" s="68">
        <v>21</v>
      </c>
      <c r="B40" s="68">
        <v>6</v>
      </c>
      <c r="C40" s="69">
        <f t="shared" si="9"/>
        <v>5040</v>
      </c>
      <c r="D40" s="69">
        <f t="shared" si="10"/>
        <v>263.30930709738516</v>
      </c>
      <c r="E40" s="69">
        <f t="shared" si="3"/>
        <v>210</v>
      </c>
      <c r="F40" s="69">
        <f t="shared" si="4"/>
        <v>473.30930709738516</v>
      </c>
      <c r="G40" s="69">
        <f t="shared" si="5"/>
        <v>4830</v>
      </c>
      <c r="I40">
        <v>7</v>
      </c>
      <c r="J40" s="36">
        <v>0.1</v>
      </c>
      <c r="K40" s="66">
        <f>B12*0.1</f>
        <v>840</v>
      </c>
      <c r="L40" t="s">
        <v>258</v>
      </c>
      <c r="P40" s="79">
        <v>19</v>
      </c>
      <c r="Q40" s="79">
        <f t="shared" si="11"/>
        <v>5</v>
      </c>
      <c r="R40" s="80">
        <f t="shared" si="19"/>
        <v>6993.6124550886334</v>
      </c>
      <c r="S40" s="80">
        <f t="shared" si="12"/>
        <v>348.51502067858354</v>
      </c>
      <c r="T40" s="80">
        <f t="shared" si="13"/>
        <v>181.98623544778849</v>
      </c>
      <c r="U40" s="80">
        <f t="shared" si="14"/>
        <v>530.50125612637203</v>
      </c>
      <c r="V40" s="80">
        <f t="shared" si="15"/>
        <v>6811.6262196408452</v>
      </c>
      <c r="AF40" s="72" t="s">
        <v>259</v>
      </c>
      <c r="AG40" s="88"/>
      <c r="AH40" s="89"/>
      <c r="AI40" s="88">
        <f>SUM(AI20:AI39)</f>
        <v>13642.109655222859</v>
      </c>
      <c r="AJ40" s="88">
        <f>SUM(AJ20:AJ39)</f>
        <v>8400</v>
      </c>
      <c r="AK40" s="88">
        <f>SUM(AK20:AK39)</f>
        <v>22042.109655222859</v>
      </c>
    </row>
    <row r="41" spans="1:37" x14ac:dyDescent="0.2">
      <c r="A41" s="68">
        <v>22</v>
      </c>
      <c r="B41" s="68">
        <v>6</v>
      </c>
      <c r="C41" s="69">
        <f t="shared" si="9"/>
        <v>4830</v>
      </c>
      <c r="D41" s="69">
        <f t="shared" si="10"/>
        <v>252.33808596832745</v>
      </c>
      <c r="E41" s="69">
        <f t="shared" si="3"/>
        <v>210</v>
      </c>
      <c r="F41" s="69">
        <f t="shared" si="4"/>
        <v>462.33808596832745</v>
      </c>
      <c r="G41" s="69">
        <f t="shared" si="5"/>
        <v>4620</v>
      </c>
      <c r="I41">
        <v>8</v>
      </c>
      <c r="J41" s="36">
        <v>0.1</v>
      </c>
      <c r="K41" s="66">
        <f>B12*0.1</f>
        <v>840</v>
      </c>
      <c r="L41" t="s">
        <v>258</v>
      </c>
      <c r="P41">
        <v>20</v>
      </c>
      <c r="Q41">
        <f t="shared" si="11"/>
        <v>5</v>
      </c>
      <c r="R41" s="66">
        <f t="shared" si="19"/>
        <v>6811.6262196408452</v>
      </c>
      <c r="S41" s="66">
        <f t="shared" si="12"/>
        <v>339.44603994543547</v>
      </c>
      <c r="T41" s="66">
        <f t="shared" si="13"/>
        <v>191.05521618093655</v>
      </c>
      <c r="U41" s="66">
        <f t="shared" si="14"/>
        <v>530.50125612637203</v>
      </c>
      <c r="V41" s="66">
        <f t="shared" si="15"/>
        <v>6620.5710034599088</v>
      </c>
    </row>
    <row r="42" spans="1:37" x14ac:dyDescent="0.2">
      <c r="A42" s="68">
        <v>23</v>
      </c>
      <c r="B42" s="68">
        <v>6</v>
      </c>
      <c r="C42" s="69">
        <f t="shared" si="9"/>
        <v>4620</v>
      </c>
      <c r="D42" s="69">
        <f t="shared" si="10"/>
        <v>241.36686483926971</v>
      </c>
      <c r="E42" s="69">
        <f t="shared" si="3"/>
        <v>210</v>
      </c>
      <c r="F42" s="69">
        <f t="shared" si="4"/>
        <v>451.36686483926974</v>
      </c>
      <c r="G42" s="69">
        <f t="shared" si="5"/>
        <v>4410</v>
      </c>
      <c r="I42">
        <v>9</v>
      </c>
      <c r="J42" s="36">
        <v>0.1</v>
      </c>
      <c r="K42" s="66">
        <f>B12*0.1</f>
        <v>840</v>
      </c>
      <c r="L42" t="s">
        <v>258</v>
      </c>
      <c r="P42" s="79">
        <v>21</v>
      </c>
      <c r="Q42" s="79">
        <f t="shared" si="11"/>
        <v>6</v>
      </c>
      <c r="R42" s="80">
        <f t="shared" si="19"/>
        <v>6620.5710034599088</v>
      </c>
      <c r="S42" s="80">
        <f t="shared" si="12"/>
        <v>329.92512167241881</v>
      </c>
      <c r="T42" s="80">
        <f t="shared" si="13"/>
        <v>200.57613445395322</v>
      </c>
      <c r="U42" s="80">
        <f t="shared" si="14"/>
        <v>530.50125612637203</v>
      </c>
      <c r="V42" s="80">
        <f t="shared" si="15"/>
        <v>6419.9948690059555</v>
      </c>
      <c r="AF42" s="64" t="s">
        <v>260</v>
      </c>
      <c r="AG42" s="14">
        <f>+AG10</f>
        <v>8400</v>
      </c>
    </row>
    <row r="43" spans="1:37" x14ac:dyDescent="0.2">
      <c r="A43" s="68">
        <v>24</v>
      </c>
      <c r="B43" s="68">
        <v>6</v>
      </c>
      <c r="C43" s="69">
        <f t="shared" si="9"/>
        <v>4410</v>
      </c>
      <c r="D43" s="69">
        <f t="shared" si="10"/>
        <v>230.395643710212</v>
      </c>
      <c r="E43" s="69">
        <f t="shared" si="3"/>
        <v>210</v>
      </c>
      <c r="F43" s="69">
        <f t="shared" si="4"/>
        <v>440.39564371021197</v>
      </c>
      <c r="G43" s="69">
        <f t="shared" si="5"/>
        <v>4200</v>
      </c>
      <c r="I43">
        <v>10</v>
      </c>
      <c r="J43" s="36">
        <v>0.2</v>
      </c>
      <c r="K43" s="66">
        <f>B12*0.2</f>
        <v>1680</v>
      </c>
      <c r="L43" t="s">
        <v>261</v>
      </c>
      <c r="P43">
        <v>22</v>
      </c>
      <c r="Q43">
        <f t="shared" si="11"/>
        <v>6</v>
      </c>
      <c r="R43" s="66">
        <f t="shared" si="19"/>
        <v>6419.9948690059555</v>
      </c>
      <c r="S43" s="66">
        <f t="shared" si="12"/>
        <v>319.92974430546343</v>
      </c>
      <c r="T43" s="66">
        <f t="shared" si="13"/>
        <v>210.5715118209086</v>
      </c>
      <c r="U43" s="66">
        <f t="shared" si="14"/>
        <v>530.50125612637203</v>
      </c>
      <c r="V43" s="66">
        <f t="shared" si="15"/>
        <v>6209.4233571850473</v>
      </c>
      <c r="AF43" t="s">
        <v>262</v>
      </c>
      <c r="AG43" s="14">
        <f>+AI40</f>
        <v>13642.109655222859</v>
      </c>
    </row>
    <row r="44" spans="1:37" x14ac:dyDescent="0.2">
      <c r="A44" s="68">
        <v>25</v>
      </c>
      <c r="B44" s="68">
        <v>7</v>
      </c>
      <c r="C44" s="69">
        <f t="shared" si="9"/>
        <v>4200</v>
      </c>
      <c r="D44" s="69">
        <f t="shared" si="10"/>
        <v>219.42442258115429</v>
      </c>
      <c r="E44" s="69">
        <f t="shared" si="3"/>
        <v>210</v>
      </c>
      <c r="F44" s="69">
        <f t="shared" si="4"/>
        <v>429.42442258115432</v>
      </c>
      <c r="G44" s="69">
        <f t="shared" si="5"/>
        <v>3990</v>
      </c>
      <c r="I44" s="73" t="s">
        <v>22</v>
      </c>
      <c r="J44" s="74">
        <v>1</v>
      </c>
      <c r="K44" s="75">
        <f>SUM(K34:K43)</f>
        <v>8400</v>
      </c>
      <c r="L44" s="73"/>
      <c r="M44" s="73"/>
      <c r="P44" s="79">
        <v>23</v>
      </c>
      <c r="Q44" s="79">
        <f t="shared" si="11"/>
        <v>6</v>
      </c>
      <c r="R44" s="80">
        <f t="shared" si="19"/>
        <v>6209.4233571850473</v>
      </c>
      <c r="S44" s="80">
        <f t="shared" si="12"/>
        <v>309.4362639663882</v>
      </c>
      <c r="T44" s="80">
        <f t="shared" si="13"/>
        <v>221.06499215998383</v>
      </c>
      <c r="U44" s="80">
        <f t="shared" si="14"/>
        <v>530.50125612637203</v>
      </c>
      <c r="V44" s="80">
        <f t="shared" si="15"/>
        <v>5988.3583650250639</v>
      </c>
      <c r="AF44" t="s">
        <v>263</v>
      </c>
      <c r="AG44" s="14">
        <f>+AG12</f>
        <v>2100</v>
      </c>
    </row>
    <row r="45" spans="1:37" x14ac:dyDescent="0.2">
      <c r="A45" s="68">
        <v>26</v>
      </c>
      <c r="B45" s="68">
        <v>7</v>
      </c>
      <c r="C45" s="69">
        <f t="shared" si="9"/>
        <v>3990</v>
      </c>
      <c r="D45" s="69">
        <f t="shared" si="10"/>
        <v>208.45320145209658</v>
      </c>
      <c r="E45" s="69">
        <f t="shared" si="3"/>
        <v>210</v>
      </c>
      <c r="F45" s="69">
        <f t="shared" si="4"/>
        <v>418.45320145209655</v>
      </c>
      <c r="G45" s="69">
        <f t="shared" si="5"/>
        <v>3780</v>
      </c>
      <c r="P45">
        <v>24</v>
      </c>
      <c r="Q45">
        <f t="shared" si="11"/>
        <v>6</v>
      </c>
      <c r="R45" s="66">
        <f t="shared" si="19"/>
        <v>5988.3583650250639</v>
      </c>
      <c r="S45" s="66">
        <f t="shared" si="12"/>
        <v>298.41985852374904</v>
      </c>
      <c r="T45" s="66">
        <f t="shared" si="13"/>
        <v>232.08139760262299</v>
      </c>
      <c r="U45" s="66">
        <f t="shared" si="14"/>
        <v>530.50125612637203</v>
      </c>
      <c r="V45" s="66">
        <f t="shared" si="15"/>
        <v>5756.276967422441</v>
      </c>
      <c r="AF45" s="64" t="s">
        <v>264</v>
      </c>
      <c r="AG45" s="152">
        <f>+AG43+AG44</f>
        <v>15742.109655222859</v>
      </c>
    </row>
    <row r="46" spans="1:37" x14ac:dyDescent="0.2">
      <c r="A46" s="68">
        <v>27</v>
      </c>
      <c r="B46" s="68">
        <v>7</v>
      </c>
      <c r="C46" s="69">
        <f t="shared" si="9"/>
        <v>3780</v>
      </c>
      <c r="D46" s="69">
        <f t="shared" si="10"/>
        <v>197.48198032303887</v>
      </c>
      <c r="E46" s="69">
        <f t="shared" si="3"/>
        <v>210</v>
      </c>
      <c r="F46" s="69">
        <f t="shared" si="4"/>
        <v>407.4819803230389</v>
      </c>
      <c r="G46" s="69">
        <f t="shared" si="5"/>
        <v>3570</v>
      </c>
      <c r="P46" s="79">
        <v>25</v>
      </c>
      <c r="Q46" s="79">
        <f t="shared" si="11"/>
        <v>7</v>
      </c>
      <c r="R46" s="80">
        <f t="shared" si="19"/>
        <v>5756.276967422441</v>
      </c>
      <c r="S46" s="80">
        <f t="shared" si="12"/>
        <v>286.85446887655166</v>
      </c>
      <c r="T46" s="80">
        <f t="shared" si="13"/>
        <v>243.64678724982036</v>
      </c>
      <c r="U46" s="80">
        <f t="shared" si="14"/>
        <v>530.50125612637203</v>
      </c>
      <c r="V46" s="80">
        <f t="shared" si="15"/>
        <v>5512.6301801726204</v>
      </c>
    </row>
    <row r="47" spans="1:37" x14ac:dyDescent="0.2">
      <c r="A47" s="68">
        <v>28</v>
      </c>
      <c r="B47" s="68">
        <v>7</v>
      </c>
      <c r="C47" s="69">
        <f t="shared" si="9"/>
        <v>3570</v>
      </c>
      <c r="D47" s="69">
        <f t="shared" si="10"/>
        <v>186.51075919398116</v>
      </c>
      <c r="E47" s="69">
        <f t="shared" si="3"/>
        <v>210</v>
      </c>
      <c r="F47" s="69">
        <f t="shared" si="4"/>
        <v>396.51075919398113</v>
      </c>
      <c r="G47" s="69">
        <f t="shared" si="5"/>
        <v>3360</v>
      </c>
      <c r="P47">
        <v>26</v>
      </c>
      <c r="Q47">
        <f t="shared" si="11"/>
        <v>7</v>
      </c>
      <c r="R47" s="66">
        <f t="shared" si="19"/>
        <v>5512.6301801726204</v>
      </c>
      <c r="S47" s="66">
        <f t="shared" si="12"/>
        <v>274.7127373119356</v>
      </c>
      <c r="T47" s="66">
        <f t="shared" si="13"/>
        <v>255.78851881443643</v>
      </c>
      <c r="U47" s="66">
        <f t="shared" si="14"/>
        <v>530.50125612637203</v>
      </c>
      <c r="V47" s="66">
        <f t="shared" si="15"/>
        <v>5256.841661358184</v>
      </c>
    </row>
    <row r="48" spans="1:37" x14ac:dyDescent="0.2">
      <c r="A48" s="68">
        <v>29</v>
      </c>
      <c r="B48" s="68">
        <v>8</v>
      </c>
      <c r="C48" s="69">
        <f t="shared" si="9"/>
        <v>3360</v>
      </c>
      <c r="D48" s="69">
        <f t="shared" si="10"/>
        <v>175.53953806492345</v>
      </c>
      <c r="E48" s="69">
        <f t="shared" si="3"/>
        <v>210</v>
      </c>
      <c r="F48" s="69">
        <f t="shared" si="4"/>
        <v>385.53953806492348</v>
      </c>
      <c r="G48" s="69">
        <f t="shared" si="5"/>
        <v>3150</v>
      </c>
      <c r="P48" s="79">
        <v>27</v>
      </c>
      <c r="Q48" s="79">
        <f t="shared" si="11"/>
        <v>7</v>
      </c>
      <c r="R48" s="80">
        <f t="shared" si="19"/>
        <v>5256.841661358184</v>
      </c>
      <c r="S48" s="80">
        <f t="shared" si="12"/>
        <v>261.96594279101618</v>
      </c>
      <c r="T48" s="80">
        <f t="shared" si="13"/>
        <v>268.53531333535585</v>
      </c>
      <c r="U48" s="80">
        <f t="shared" si="14"/>
        <v>530.50125612637203</v>
      </c>
      <c r="V48" s="80">
        <f t="shared" si="15"/>
        <v>4988.3063480228284</v>
      </c>
    </row>
    <row r="49" spans="1:22" x14ac:dyDescent="0.2">
      <c r="A49" s="68">
        <v>30</v>
      </c>
      <c r="B49" s="68">
        <v>8</v>
      </c>
      <c r="C49" s="69">
        <f t="shared" si="9"/>
        <v>3150</v>
      </c>
      <c r="D49" s="69">
        <f t="shared" si="10"/>
        <v>164.56831693586571</v>
      </c>
      <c r="E49" s="69">
        <f t="shared" si="3"/>
        <v>210</v>
      </c>
      <c r="F49" s="69">
        <f t="shared" si="4"/>
        <v>374.56831693586571</v>
      </c>
      <c r="G49" s="69">
        <f t="shared" si="5"/>
        <v>2940</v>
      </c>
      <c r="P49">
        <v>28</v>
      </c>
      <c r="Q49">
        <f t="shared" si="11"/>
        <v>7</v>
      </c>
      <c r="R49" s="66">
        <f t="shared" si="19"/>
        <v>4988.3063480228284</v>
      </c>
      <c r="S49" s="66">
        <f t="shared" si="12"/>
        <v>248.58393300980427</v>
      </c>
      <c r="T49" s="66">
        <f t="shared" si="13"/>
        <v>281.91732311656779</v>
      </c>
      <c r="U49" s="66">
        <f t="shared" si="14"/>
        <v>530.50125612637203</v>
      </c>
      <c r="V49" s="66">
        <f t="shared" si="15"/>
        <v>4706.3890249062606</v>
      </c>
    </row>
    <row r="50" spans="1:22" x14ac:dyDescent="0.2">
      <c r="A50" s="68">
        <v>31</v>
      </c>
      <c r="B50" s="68">
        <v>8</v>
      </c>
      <c r="C50" s="69">
        <f t="shared" si="9"/>
        <v>2940</v>
      </c>
      <c r="D50" s="69">
        <f t="shared" si="10"/>
        <v>153.597095806808</v>
      </c>
      <c r="E50" s="69">
        <f t="shared" si="3"/>
        <v>210</v>
      </c>
      <c r="F50" s="69">
        <f t="shared" si="4"/>
        <v>363.597095806808</v>
      </c>
      <c r="G50" s="69">
        <f t="shared" si="5"/>
        <v>2730</v>
      </c>
      <c r="P50" s="79">
        <v>29</v>
      </c>
      <c r="Q50" s="79">
        <f t="shared" si="11"/>
        <v>8</v>
      </c>
      <c r="R50" s="80">
        <f t="shared" si="19"/>
        <v>4706.3890249062606</v>
      </c>
      <c r="S50" s="80">
        <f t="shared" si="12"/>
        <v>234.53505307449532</v>
      </c>
      <c r="T50" s="80">
        <f t="shared" si="13"/>
        <v>295.96620305187673</v>
      </c>
      <c r="U50" s="80">
        <f t="shared" si="14"/>
        <v>530.50125612637203</v>
      </c>
      <c r="V50" s="80">
        <f t="shared" si="15"/>
        <v>4410.422821854384</v>
      </c>
    </row>
    <row r="51" spans="1:22" x14ac:dyDescent="0.2">
      <c r="A51" s="68">
        <v>32</v>
      </c>
      <c r="B51" s="68">
        <v>8</v>
      </c>
      <c r="C51" s="69">
        <f t="shared" si="9"/>
        <v>2730</v>
      </c>
      <c r="D51" s="69">
        <f t="shared" si="10"/>
        <v>142.62587467775029</v>
      </c>
      <c r="E51" s="69">
        <f t="shared" si="3"/>
        <v>210</v>
      </c>
      <c r="F51" s="69">
        <f t="shared" si="4"/>
        <v>352.62587467775029</v>
      </c>
      <c r="G51" s="69">
        <f t="shared" si="5"/>
        <v>2520</v>
      </c>
      <c r="P51">
        <v>30</v>
      </c>
      <c r="Q51">
        <f t="shared" si="11"/>
        <v>8</v>
      </c>
      <c r="R51" s="66">
        <f t="shared" si="19"/>
        <v>4410.422821854384</v>
      </c>
      <c r="S51" s="66">
        <f t="shared" si="12"/>
        <v>219.78607062241014</v>
      </c>
      <c r="T51" s="66">
        <f t="shared" si="13"/>
        <v>310.71518550396189</v>
      </c>
      <c r="U51" s="66">
        <f t="shared" si="14"/>
        <v>530.50125612637203</v>
      </c>
      <c r="V51" s="66">
        <f t="shared" si="15"/>
        <v>4099.707636350422</v>
      </c>
    </row>
    <row r="52" spans="1:22" x14ac:dyDescent="0.2">
      <c r="A52" s="68">
        <v>33</v>
      </c>
      <c r="B52" s="68">
        <v>9</v>
      </c>
      <c r="C52" s="69">
        <f t="shared" si="9"/>
        <v>2520</v>
      </c>
      <c r="D52" s="69">
        <f t="shared" si="10"/>
        <v>131.65465354869258</v>
      </c>
      <c r="E52" s="69">
        <f t="shared" si="3"/>
        <v>210</v>
      </c>
      <c r="F52" s="69">
        <f t="shared" si="4"/>
        <v>341.65465354869258</v>
      </c>
      <c r="G52" s="69">
        <f t="shared" si="5"/>
        <v>2310</v>
      </c>
      <c r="P52" s="79">
        <v>31</v>
      </c>
      <c r="Q52" s="79">
        <f t="shared" si="11"/>
        <v>8</v>
      </c>
      <c r="R52" s="80">
        <f t="shared" si="19"/>
        <v>4099.707636350422</v>
      </c>
      <c r="S52" s="80">
        <f t="shared" si="12"/>
        <v>204.30209721146269</v>
      </c>
      <c r="T52" s="80">
        <f t="shared" si="13"/>
        <v>326.19915891490933</v>
      </c>
      <c r="U52" s="80">
        <f t="shared" si="14"/>
        <v>530.50125612637203</v>
      </c>
      <c r="V52" s="80">
        <f t="shared" si="15"/>
        <v>3773.5084774355128</v>
      </c>
    </row>
    <row r="53" spans="1:22" x14ac:dyDescent="0.2">
      <c r="A53" s="68">
        <v>34</v>
      </c>
      <c r="B53" s="68">
        <v>9</v>
      </c>
      <c r="C53" s="69">
        <f t="shared" si="9"/>
        <v>2310</v>
      </c>
      <c r="D53" s="69">
        <f t="shared" si="10"/>
        <v>120.68343241963485</v>
      </c>
      <c r="E53" s="69">
        <f t="shared" si="3"/>
        <v>210</v>
      </c>
      <c r="F53" s="69">
        <f t="shared" si="4"/>
        <v>330.68343241963487</v>
      </c>
      <c r="G53" s="69">
        <f t="shared" si="5"/>
        <v>2100</v>
      </c>
      <c r="P53">
        <v>32</v>
      </c>
      <c r="Q53">
        <f t="shared" si="11"/>
        <v>8</v>
      </c>
      <c r="R53" s="66">
        <f t="shared" si="19"/>
        <v>3773.5084774355128</v>
      </c>
      <c r="S53" s="66">
        <f t="shared" si="12"/>
        <v>188.04650579220305</v>
      </c>
      <c r="T53" s="66">
        <f t="shared" si="13"/>
        <v>342.45475033416898</v>
      </c>
      <c r="U53" s="66">
        <f t="shared" si="14"/>
        <v>530.50125612637203</v>
      </c>
      <c r="V53" s="66">
        <f t="shared" si="15"/>
        <v>3431.0537271013436</v>
      </c>
    </row>
    <row r="54" spans="1:22" x14ac:dyDescent="0.2">
      <c r="A54" s="68">
        <v>35</v>
      </c>
      <c r="B54" s="68">
        <v>9</v>
      </c>
      <c r="C54" s="69">
        <f t="shared" si="9"/>
        <v>2100</v>
      </c>
      <c r="D54" s="69">
        <f t="shared" si="10"/>
        <v>109.71221129057714</v>
      </c>
      <c r="E54" s="69">
        <f t="shared" si="3"/>
        <v>210</v>
      </c>
      <c r="F54" s="69">
        <f t="shared" si="4"/>
        <v>319.71221129057716</v>
      </c>
      <c r="G54" s="69">
        <f t="shared" si="5"/>
        <v>1890</v>
      </c>
      <c r="P54" s="79">
        <v>33</v>
      </c>
      <c r="Q54" s="79">
        <f t="shared" si="11"/>
        <v>9</v>
      </c>
      <c r="R54" s="80">
        <f t="shared" si="19"/>
        <v>3431.0537271013436</v>
      </c>
      <c r="S54" s="80">
        <f t="shared" si="12"/>
        <v>170.98084406721696</v>
      </c>
      <c r="T54" s="80">
        <f t="shared" si="13"/>
        <v>359.52041205915509</v>
      </c>
      <c r="U54" s="80">
        <f t="shared" si="14"/>
        <v>530.50125612637203</v>
      </c>
      <c r="V54" s="80">
        <f t="shared" si="15"/>
        <v>3071.5333150421884</v>
      </c>
    </row>
    <row r="55" spans="1:22" x14ac:dyDescent="0.2">
      <c r="A55" s="68">
        <v>36</v>
      </c>
      <c r="B55" s="68">
        <v>9</v>
      </c>
      <c r="C55" s="69">
        <f t="shared" si="9"/>
        <v>1890</v>
      </c>
      <c r="D55" s="69">
        <f t="shared" si="10"/>
        <v>98.740990161519434</v>
      </c>
      <c r="E55" s="69">
        <f t="shared" si="3"/>
        <v>210</v>
      </c>
      <c r="F55" s="69">
        <f t="shared" si="4"/>
        <v>308.74099016151945</v>
      </c>
      <c r="G55" s="69">
        <f t="shared" si="5"/>
        <v>1680</v>
      </c>
      <c r="P55">
        <v>34</v>
      </c>
      <c r="Q55">
        <f t="shared" si="11"/>
        <v>9</v>
      </c>
      <c r="R55" s="66">
        <f t="shared" si="19"/>
        <v>3071.5333150421884</v>
      </c>
      <c r="S55" s="66">
        <f t="shared" si="12"/>
        <v>153.06474353293572</v>
      </c>
      <c r="T55" s="66">
        <f t="shared" si="13"/>
        <v>377.4365125934363</v>
      </c>
      <c r="U55" s="66">
        <f t="shared" si="14"/>
        <v>530.50125612637203</v>
      </c>
      <c r="V55" s="66">
        <f t="shared" si="15"/>
        <v>2694.096802448752</v>
      </c>
    </row>
    <row r="56" spans="1:22" x14ac:dyDescent="0.2">
      <c r="A56" s="68">
        <v>37</v>
      </c>
      <c r="B56" s="68">
        <v>10</v>
      </c>
      <c r="C56" s="69">
        <f t="shared" si="9"/>
        <v>1680</v>
      </c>
      <c r="D56" s="69">
        <f t="shared" si="10"/>
        <v>87.769769032461724</v>
      </c>
      <c r="E56" s="69">
        <f t="shared" si="3"/>
        <v>420</v>
      </c>
      <c r="F56" s="69">
        <f t="shared" si="4"/>
        <v>507.76976903246174</v>
      </c>
      <c r="G56" s="69">
        <f t="shared" si="5"/>
        <v>1260</v>
      </c>
      <c r="P56" s="79">
        <v>35</v>
      </c>
      <c r="Q56" s="79">
        <f t="shared" si="11"/>
        <v>9</v>
      </c>
      <c r="R56" s="80">
        <f t="shared" si="19"/>
        <v>2694.096802448752</v>
      </c>
      <c r="S56" s="80">
        <f t="shared" si="12"/>
        <v>134.25582398869614</v>
      </c>
      <c r="T56" s="80">
        <f t="shared" si="13"/>
        <v>396.24543213767589</v>
      </c>
      <c r="U56" s="80">
        <f t="shared" si="14"/>
        <v>530.50125612637203</v>
      </c>
      <c r="V56" s="80">
        <f t="shared" si="15"/>
        <v>2297.8513703110762</v>
      </c>
    </row>
    <row r="57" spans="1:22" x14ac:dyDescent="0.2">
      <c r="A57" s="68">
        <v>38</v>
      </c>
      <c r="B57" s="68">
        <v>10</v>
      </c>
      <c r="C57" s="69">
        <f t="shared" si="9"/>
        <v>1260</v>
      </c>
      <c r="D57" s="69">
        <f t="shared" si="10"/>
        <v>65.82732677434629</v>
      </c>
      <c r="E57" s="69">
        <f t="shared" si="3"/>
        <v>420</v>
      </c>
      <c r="F57" s="69">
        <f t="shared" si="4"/>
        <v>485.82732677434626</v>
      </c>
      <c r="G57" s="69">
        <f t="shared" si="5"/>
        <v>840</v>
      </c>
      <c r="P57">
        <v>36</v>
      </c>
      <c r="Q57">
        <f t="shared" si="11"/>
        <v>9</v>
      </c>
      <c r="R57" s="66">
        <f t="shared" si="19"/>
        <v>2297.8513703110762</v>
      </c>
      <c r="S57" s="66">
        <f t="shared" si="12"/>
        <v>114.50959328716863</v>
      </c>
      <c r="T57" s="66">
        <f t="shared" si="13"/>
        <v>415.9916628392034</v>
      </c>
      <c r="U57" s="66">
        <f t="shared" si="14"/>
        <v>530.50125612637203</v>
      </c>
      <c r="V57" s="66">
        <f t="shared" si="15"/>
        <v>1881.8597074718728</v>
      </c>
    </row>
    <row r="58" spans="1:22" x14ac:dyDescent="0.2">
      <c r="A58" s="68">
        <v>39</v>
      </c>
      <c r="B58" s="68">
        <v>10</v>
      </c>
      <c r="C58" s="69">
        <f t="shared" si="9"/>
        <v>840</v>
      </c>
      <c r="D58" s="69">
        <f t="shared" si="10"/>
        <v>43.884884516230862</v>
      </c>
      <c r="E58" s="69">
        <f t="shared" si="3"/>
        <v>420</v>
      </c>
      <c r="F58" s="69">
        <f t="shared" si="4"/>
        <v>463.88488451623084</v>
      </c>
      <c r="G58" s="69">
        <f t="shared" si="5"/>
        <v>420</v>
      </c>
      <c r="P58" s="79">
        <v>37</v>
      </c>
      <c r="Q58" s="79">
        <f t="shared" si="11"/>
        <v>10</v>
      </c>
      <c r="R58" s="80">
        <f t="shared" si="19"/>
        <v>1881.8597074718728</v>
      </c>
      <c r="S58" s="80">
        <f t="shared" si="12"/>
        <v>93.779342089014989</v>
      </c>
      <c r="T58" s="80">
        <f t="shared" si="13"/>
        <v>436.72191403735701</v>
      </c>
      <c r="U58" s="80">
        <f t="shared" si="14"/>
        <v>530.50125612637203</v>
      </c>
      <c r="V58" s="80">
        <f t="shared" si="15"/>
        <v>1445.1377934345157</v>
      </c>
    </row>
    <row r="59" spans="1:22" x14ac:dyDescent="0.2">
      <c r="A59" s="68">
        <v>40</v>
      </c>
      <c r="B59" s="68">
        <v>10</v>
      </c>
      <c r="C59" s="69">
        <f t="shared" si="9"/>
        <v>420</v>
      </c>
      <c r="D59" s="69">
        <f t="shared" si="10"/>
        <v>21.942442258115431</v>
      </c>
      <c r="E59" s="69">
        <f t="shared" si="3"/>
        <v>420</v>
      </c>
      <c r="F59" s="69">
        <f t="shared" si="4"/>
        <v>441.94244225811542</v>
      </c>
      <c r="G59" s="69">
        <f t="shared" si="5"/>
        <v>0</v>
      </c>
      <c r="P59">
        <v>38</v>
      </c>
      <c r="Q59">
        <f t="shared" si="11"/>
        <v>10</v>
      </c>
      <c r="R59" s="66">
        <f t="shared" si="19"/>
        <v>1445.1377934345157</v>
      </c>
      <c r="S59" s="66">
        <f t="shared" si="12"/>
        <v>72.016033372820033</v>
      </c>
      <c r="T59" s="66">
        <f t="shared" si="13"/>
        <v>458.48522275355197</v>
      </c>
      <c r="U59" s="66">
        <f t="shared" si="14"/>
        <v>530.50125612637203</v>
      </c>
      <c r="V59" s="66">
        <f t="shared" si="15"/>
        <v>986.65257068096378</v>
      </c>
    </row>
    <row r="60" spans="1:22" x14ac:dyDescent="0.2">
      <c r="A60" s="70" t="s">
        <v>259</v>
      </c>
      <c r="B60" s="70"/>
      <c r="C60" s="70"/>
      <c r="D60" s="71">
        <f>SUM(D20:D59)</f>
        <v>10576.257168411639</v>
      </c>
      <c r="E60" s="71">
        <f>SUM(E20:E59)</f>
        <v>8400</v>
      </c>
      <c r="F60" s="71">
        <f>SUM(F20:F59)</f>
        <v>18976.257168411637</v>
      </c>
      <c r="G60" s="70"/>
      <c r="P60" s="79">
        <v>39</v>
      </c>
      <c r="Q60" s="79">
        <f t="shared" si="11"/>
        <v>10</v>
      </c>
      <c r="R60" s="80">
        <f t="shared" si="19"/>
        <v>986.65257068096378</v>
      </c>
      <c r="S60" s="80">
        <f t="shared" si="12"/>
        <v>49.168186438934697</v>
      </c>
      <c r="T60" s="80">
        <f t="shared" si="13"/>
        <v>481.33306968743733</v>
      </c>
      <c r="U60" s="80">
        <f t="shared" si="14"/>
        <v>530.50125612637203</v>
      </c>
      <c r="V60" s="80">
        <f t="shared" si="15"/>
        <v>505.31950099352645</v>
      </c>
    </row>
    <row r="61" spans="1:22" ht="17" thickBot="1" x14ac:dyDescent="0.25">
      <c r="P61">
        <v>40</v>
      </c>
      <c r="Q61">
        <f t="shared" si="11"/>
        <v>10</v>
      </c>
      <c r="R61" s="66">
        <f t="shared" si="19"/>
        <v>505.31950099352645</v>
      </c>
      <c r="S61" s="66">
        <f t="shared" si="12"/>
        <v>25.181755132844067</v>
      </c>
      <c r="T61" s="66">
        <f t="shared" si="13"/>
        <v>505.31950099352798</v>
      </c>
      <c r="U61" s="66">
        <f t="shared" si="14"/>
        <v>530.50125612637203</v>
      </c>
      <c r="V61" s="66">
        <f>MAX(0,R61-T61)</f>
        <v>0</v>
      </c>
    </row>
    <row r="62" spans="1:22" x14ac:dyDescent="0.2">
      <c r="A62" s="64" t="s">
        <v>265</v>
      </c>
      <c r="P62" s="83" t="s">
        <v>259</v>
      </c>
      <c r="Q62" s="84"/>
      <c r="R62" s="84"/>
      <c r="S62" s="85">
        <f>SUM(S22:S61)</f>
        <v>11924.840196043901</v>
      </c>
      <c r="T62" s="85">
        <f>SUM(T22:T61)</f>
        <v>8400.0000000000036</v>
      </c>
      <c r="U62" s="85">
        <f>SUM(U22:U61)</f>
        <v>20324.840196043904</v>
      </c>
      <c r="V62" s="84"/>
    </row>
    <row r="63" spans="1:22" x14ac:dyDescent="0.2">
      <c r="A63" t="s">
        <v>266</v>
      </c>
      <c r="B63" s="14">
        <f>D60</f>
        <v>10576.257168411639</v>
      </c>
    </row>
    <row r="64" spans="1:22" x14ac:dyDescent="0.2">
      <c r="A64" t="s">
        <v>267</v>
      </c>
      <c r="B64" s="14">
        <f>E60</f>
        <v>8400</v>
      </c>
      <c r="P64" s="31" t="s">
        <v>265</v>
      </c>
    </row>
    <row r="65" spans="1:17" x14ac:dyDescent="0.2">
      <c r="A65" t="s">
        <v>268</v>
      </c>
      <c r="B65" s="14">
        <f>F60</f>
        <v>18976.257168411637</v>
      </c>
      <c r="P65" s="64" t="s">
        <v>266</v>
      </c>
      <c r="Q65" s="14">
        <f>S62</f>
        <v>11924.840196043901</v>
      </c>
    </row>
    <row r="66" spans="1:17" x14ac:dyDescent="0.2">
      <c r="A66" t="s">
        <v>269</v>
      </c>
      <c r="B66" s="152">
        <f>D60+B14</f>
        <v>11080.257168411639</v>
      </c>
      <c r="P66" s="64" t="s">
        <v>267</v>
      </c>
      <c r="Q66" s="14">
        <f>T62</f>
        <v>8400.0000000000036</v>
      </c>
    </row>
    <row r="67" spans="1:17" x14ac:dyDescent="0.2">
      <c r="B67" s="66"/>
      <c r="P67" s="64" t="s">
        <v>268</v>
      </c>
      <c r="Q67" s="14">
        <f>U62</f>
        <v>20324.840196043904</v>
      </c>
    </row>
    <row r="68" spans="1:17" x14ac:dyDescent="0.2">
      <c r="P68" s="64" t="s">
        <v>269</v>
      </c>
      <c r="Q68" s="152">
        <f>S62+Q14</f>
        <v>12386.840196043901</v>
      </c>
    </row>
  </sheetData>
  <mergeCells count="9">
    <mergeCell ref="P3:Q3"/>
    <mergeCell ref="P19:V19"/>
    <mergeCell ref="X19:AB19"/>
    <mergeCell ref="AM13:AQ13"/>
    <mergeCell ref="A1:G1"/>
    <mergeCell ref="A3:B3"/>
    <mergeCell ref="A17:G17"/>
    <mergeCell ref="I17:M17"/>
    <mergeCell ref="I32:M32"/>
  </mergeCells>
  <hyperlinks>
    <hyperlink ref="D9" r:id="rId1" xr:uid="{FE201A1B-6C8C-4A0F-801E-10AC66BA1A7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BD6C-4915-224B-BD54-B71D273CB923}">
  <dimension ref="A1:C19"/>
  <sheetViews>
    <sheetView workbookViewId="0">
      <selection activeCell="B16" sqref="B16"/>
    </sheetView>
  </sheetViews>
  <sheetFormatPr baseColWidth="10" defaultColWidth="11" defaultRowHeight="16" x14ac:dyDescent="0.2"/>
  <cols>
    <col min="1" max="1" width="50" bestFit="1" customWidth="1"/>
  </cols>
  <sheetData>
    <row r="1" spans="1:3" x14ac:dyDescent="0.2">
      <c r="A1" t="s">
        <v>270</v>
      </c>
      <c r="B1" s="12">
        <v>4.4400000000000002E-2</v>
      </c>
      <c r="C1" s="60" t="s">
        <v>271</v>
      </c>
    </row>
    <row r="2" spans="1:3" x14ac:dyDescent="0.2">
      <c r="A2" t="s">
        <v>272</v>
      </c>
      <c r="B2" s="12">
        <v>0.12591818181818185</v>
      </c>
    </row>
    <row r="3" spans="1:3" x14ac:dyDescent="0.2">
      <c r="A3" t="s">
        <v>273</v>
      </c>
      <c r="B3" s="41">
        <f>B2-B1</f>
        <v>8.1518181818181851E-2</v>
      </c>
    </row>
    <row r="4" spans="1:3" x14ac:dyDescent="0.2">
      <c r="A4" t="s">
        <v>274</v>
      </c>
      <c r="B4" s="61">
        <v>1.04</v>
      </c>
      <c r="C4" t="s">
        <v>275</v>
      </c>
    </row>
    <row r="5" spans="1:3" x14ac:dyDescent="0.2">
      <c r="A5" t="s">
        <v>276</v>
      </c>
      <c r="B5" s="41">
        <v>0.10980000000000001</v>
      </c>
    </row>
    <row r="6" spans="1:3" x14ac:dyDescent="0.2">
      <c r="A6" t="s">
        <v>23</v>
      </c>
      <c r="B6" s="41">
        <f>Datos!C17</f>
        <v>0.35</v>
      </c>
    </row>
    <row r="7" spans="1:3" x14ac:dyDescent="0.2">
      <c r="A7" t="s">
        <v>277</v>
      </c>
      <c r="B7" s="61">
        <f>((B4)/(1+(1-B6)*B5))</f>
        <v>0.97071973267871992</v>
      </c>
      <c r="C7" t="s">
        <v>278</v>
      </c>
    </row>
    <row r="8" spans="1:3" ht="17" x14ac:dyDescent="0.2">
      <c r="A8" s="26" t="s">
        <v>279</v>
      </c>
      <c r="B8" s="61">
        <v>0.96</v>
      </c>
      <c r="C8" t="s">
        <v>280</v>
      </c>
    </row>
    <row r="9" spans="1:3" ht="17" x14ac:dyDescent="0.2">
      <c r="A9" s="26" t="s">
        <v>281</v>
      </c>
      <c r="B9" s="61">
        <f>Datos!C35/Datos!C34</f>
        <v>1.4999999999999998</v>
      </c>
      <c r="C9" t="s">
        <v>282</v>
      </c>
    </row>
    <row r="10" spans="1:3" x14ac:dyDescent="0.2">
      <c r="A10" t="s">
        <v>283</v>
      </c>
      <c r="B10" s="61">
        <f>B7*(1+(1-B6)*(B9))</f>
        <v>1.9171714720404718</v>
      </c>
      <c r="C10" t="s">
        <v>278</v>
      </c>
    </row>
    <row r="11" spans="1:3" x14ac:dyDescent="0.2">
      <c r="A11" t="s">
        <v>284</v>
      </c>
      <c r="B11" s="41">
        <v>6.6430000000000003E-2</v>
      </c>
      <c r="C11" s="62" t="s">
        <v>285</v>
      </c>
    </row>
    <row r="12" spans="1:3" x14ac:dyDescent="0.2">
      <c r="A12" t="s">
        <v>286</v>
      </c>
      <c r="B12" s="41">
        <f>B11-B1</f>
        <v>2.2030000000000001E-2</v>
      </c>
      <c r="C12" t="s">
        <v>278</v>
      </c>
    </row>
    <row r="13" spans="1:3" x14ac:dyDescent="0.2">
      <c r="A13" t="s">
        <v>287</v>
      </c>
      <c r="B13" s="41">
        <v>0.121</v>
      </c>
      <c r="C13" s="60" t="s">
        <v>178</v>
      </c>
    </row>
    <row r="14" spans="1:3" x14ac:dyDescent="0.2">
      <c r="A14" t="s">
        <v>288</v>
      </c>
      <c r="B14" s="41">
        <f>B13-B11</f>
        <v>5.4569999999999994E-2</v>
      </c>
      <c r="C14" t="s">
        <v>278</v>
      </c>
    </row>
    <row r="15" spans="1:3" x14ac:dyDescent="0.2">
      <c r="A15" t="s">
        <v>289</v>
      </c>
      <c r="B15" s="41">
        <f>B1+B10*B3+B12</f>
        <v>0.2227143326344265</v>
      </c>
    </row>
    <row r="16" spans="1:3" x14ac:dyDescent="0.2">
      <c r="A16" t="s">
        <v>290</v>
      </c>
      <c r="B16" s="41">
        <f>(1+B15)*(1+B14)-1</f>
        <v>0.28943785376628717</v>
      </c>
    </row>
    <row r="17" spans="1:2" x14ac:dyDescent="0.2">
      <c r="B17" s="36"/>
    </row>
    <row r="18" spans="1:2" x14ac:dyDescent="0.2">
      <c r="A18" t="s">
        <v>291</v>
      </c>
      <c r="B18" s="41">
        <f>$B$16*Datos!$C$34+Datos!$C$35*Bancos!$B$10*(1-B6)</f>
        <v>0.20388785350960881</v>
      </c>
    </row>
    <row r="19" spans="1:2" x14ac:dyDescent="0.2">
      <c r="B19" s="12"/>
    </row>
  </sheetData>
  <hyperlinks>
    <hyperlink ref="C1" r:id="rId1" xr:uid="{FD7B9E88-34E8-4D87-8C9F-36DA5A9C051B}"/>
    <hyperlink ref="C11" r:id="rId2" xr:uid="{F24AE56B-4FD0-48E1-8066-07F37B3CA27D}"/>
    <hyperlink ref="C13" r:id="rId3" xr:uid="{8E86C483-8705-46CD-A2A5-52D4FBACBED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BD1F-2BCE-1E4E-8D0F-AE09382DBF1B}">
  <dimension ref="A1:N7"/>
  <sheetViews>
    <sheetView topLeftCell="H1" workbookViewId="0">
      <selection activeCell="D11" sqref="D11"/>
    </sheetView>
  </sheetViews>
  <sheetFormatPr baseColWidth="10" defaultColWidth="11" defaultRowHeight="16" x14ac:dyDescent="0.2"/>
  <cols>
    <col min="1" max="1" width="19.6640625" bestFit="1" customWidth="1"/>
    <col min="2" max="11" width="19.6640625" customWidth="1"/>
    <col min="13" max="13" width="35.5" bestFit="1" customWidth="1"/>
    <col min="14" max="14" width="18.1640625" customWidth="1"/>
  </cols>
  <sheetData>
    <row r="1" spans="1:14" x14ac:dyDescent="0.2">
      <c r="A1" s="31" t="s">
        <v>292</v>
      </c>
      <c r="B1" s="22" t="s">
        <v>85</v>
      </c>
      <c r="C1" s="22" t="s">
        <v>86</v>
      </c>
      <c r="D1" s="22" t="s">
        <v>87</v>
      </c>
      <c r="E1" s="22" t="s">
        <v>88</v>
      </c>
      <c r="F1" s="22" t="s">
        <v>89</v>
      </c>
      <c r="G1" s="22" t="s">
        <v>90</v>
      </c>
      <c r="H1" s="22" t="s">
        <v>91</v>
      </c>
      <c r="I1" s="22" t="s">
        <v>92</v>
      </c>
      <c r="J1" s="22" t="s">
        <v>93</v>
      </c>
      <c r="K1" s="22" t="s">
        <v>94</v>
      </c>
      <c r="M1" t="s">
        <v>293</v>
      </c>
      <c r="N1" t="s">
        <v>294</v>
      </c>
    </row>
    <row r="2" spans="1:14" x14ac:dyDescent="0.2">
      <c r="A2" s="32" t="s">
        <v>8</v>
      </c>
      <c r="B2" s="21">
        <f>Datos!$C$5*1000000/Datos!$E$5</f>
        <v>425000000</v>
      </c>
      <c r="C2" s="21">
        <f>Datos!$C$5*1000000/Datos!$E$5</f>
        <v>425000000</v>
      </c>
      <c r="D2" s="21">
        <f>Datos!$C$5*1000000/Datos!$E$5</f>
        <v>425000000</v>
      </c>
      <c r="E2" s="21">
        <f>Datos!$C$5*1000000/Datos!$E$5</f>
        <v>425000000</v>
      </c>
      <c r="F2" s="21">
        <f>Datos!$C$5*1000000/Datos!$E$5</f>
        <v>425000000</v>
      </c>
      <c r="G2" s="21">
        <f>Datos!$C$5*1000000/Datos!$E$5</f>
        <v>425000000</v>
      </c>
      <c r="H2" s="21">
        <f>Datos!$C$5*1000000/Datos!$E$5</f>
        <v>425000000</v>
      </c>
      <c r="I2" s="21">
        <f>Datos!$C$5*1000000/Datos!$E$5</f>
        <v>425000000</v>
      </c>
      <c r="J2" s="21">
        <f>Datos!$C$5*1000000/Datos!$E$5</f>
        <v>425000000</v>
      </c>
      <c r="K2" s="21">
        <f>Datos!$C$5*1000000/Datos!$E$5</f>
        <v>425000000</v>
      </c>
      <c r="M2" t="s">
        <v>295</v>
      </c>
    </row>
    <row r="3" spans="1:14" x14ac:dyDescent="0.2">
      <c r="A3" s="33" t="s">
        <v>10</v>
      </c>
      <c r="B3" s="21">
        <f>Datos!$C$6*1000000/Datos!$E$6</f>
        <v>250000000</v>
      </c>
      <c r="C3" s="21">
        <f>Datos!$C$6*1000000/Datos!$E$6</f>
        <v>250000000</v>
      </c>
      <c r="D3" s="21">
        <f>Datos!$C$6*1000000/Datos!$E$6</f>
        <v>250000000</v>
      </c>
      <c r="E3" s="21">
        <f>Datos!$C$6*1000000/Datos!$E$6</f>
        <v>250000000</v>
      </c>
      <c r="F3" s="21">
        <f>Datos!$C$6*1000000/Datos!$E$6</f>
        <v>250000000</v>
      </c>
      <c r="G3" s="21">
        <f>Datos!$C$6*1000000/Datos!$E$6</f>
        <v>250000000</v>
      </c>
      <c r="H3" s="21">
        <f>Datos!$C$6*1000000/Datos!$E$6</f>
        <v>250000000</v>
      </c>
      <c r="I3" s="21">
        <f>Datos!$C$6*1000000/Datos!$E$6</f>
        <v>250000000</v>
      </c>
      <c r="J3" s="21">
        <f>Datos!$C$6*1000000/Datos!$E$6</f>
        <v>250000000</v>
      </c>
      <c r="K3" s="21">
        <f>Datos!$C$6*1000000/Datos!$E$6</f>
        <v>250000000</v>
      </c>
      <c r="M3" t="s">
        <v>296</v>
      </c>
    </row>
    <row r="4" spans="1:14" x14ac:dyDescent="0.2">
      <c r="A4" s="34" t="s">
        <v>12</v>
      </c>
      <c r="B4" s="21">
        <f>Datos!$C$7*1000000/Datos!$E$7</f>
        <v>19799999.999999996</v>
      </c>
      <c r="C4" s="21">
        <f>Datos!$C$7*1000000/Datos!$E$7</f>
        <v>19799999.999999996</v>
      </c>
      <c r="D4" s="21">
        <f>Datos!$C$7*1000000/Datos!$E$7</f>
        <v>19799999.999999996</v>
      </c>
      <c r="E4" s="21">
        <f>Datos!$C$7*1000000/Datos!$E$7</f>
        <v>19799999.999999996</v>
      </c>
      <c r="F4" s="21">
        <f>Datos!$C$7*1000000/Datos!$E$7</f>
        <v>19799999.999999996</v>
      </c>
      <c r="G4" s="21">
        <f>Datos!$C$7*1000000/Datos!$E$7</f>
        <v>19799999.999999996</v>
      </c>
      <c r="H4" s="21">
        <f>Datos!$C$7*1000000/Datos!$E$7</f>
        <v>19799999.999999996</v>
      </c>
      <c r="I4" s="21">
        <f>Datos!$C$7*1000000/Datos!$E$7</f>
        <v>19799999.999999996</v>
      </c>
      <c r="J4" s="21">
        <f>Datos!$C$7*1000000/Datos!$E$7</f>
        <v>19799999.999999996</v>
      </c>
      <c r="K4" s="21">
        <f>Datos!$C$7*1000000/Datos!$E$7</f>
        <v>19799999.999999996</v>
      </c>
    </row>
    <row r="5" spans="1:14" x14ac:dyDescent="0.2">
      <c r="A5" s="33" t="s">
        <v>13</v>
      </c>
      <c r="B5" s="21">
        <f>Datos!$C$8*1000000/Datos!$E$8</f>
        <v>42500000</v>
      </c>
      <c r="C5" s="21">
        <f>Datos!$C$8*1000000/Datos!$E$8</f>
        <v>42500000</v>
      </c>
      <c r="D5" s="21">
        <f>Datos!$C$8*1000000/Datos!$E$8</f>
        <v>42500000</v>
      </c>
      <c r="E5" s="21">
        <f>Datos!$C$8*1000000/Datos!$E$8</f>
        <v>42500000</v>
      </c>
      <c r="F5" s="21">
        <f>Datos!$C$8*1000000/Datos!$E$8</f>
        <v>42500000</v>
      </c>
      <c r="G5" s="21">
        <f>Datos!$C$8*1000000/Datos!$E$8</f>
        <v>42500000</v>
      </c>
      <c r="H5" s="21">
        <f>Datos!$C$8*1000000/Datos!$E$8</f>
        <v>42500000</v>
      </c>
      <c r="I5" s="21">
        <f>Datos!$C$8*1000000/Datos!$E$8</f>
        <v>42500000</v>
      </c>
      <c r="J5" s="21">
        <f>Datos!$C$8*1000000/Datos!$E$8</f>
        <v>42500000</v>
      </c>
      <c r="K5" s="21">
        <f>Datos!$C$8*1000000/Datos!$E$8</f>
        <v>42500000</v>
      </c>
    </row>
    <row r="6" spans="1:14" x14ac:dyDescent="0.2">
      <c r="A6" s="34" t="s">
        <v>15</v>
      </c>
      <c r="B6" s="21">
        <f>Datos!$C$9*1000000/Datos!$E$9</f>
        <v>62500000</v>
      </c>
      <c r="C6" s="21">
        <f>Datos!$C$9*1000000/Datos!$E$9</f>
        <v>62500000</v>
      </c>
      <c r="D6" s="21">
        <f>Datos!$C$9*1000000/Datos!$E$9</f>
        <v>62500000</v>
      </c>
      <c r="E6" s="21">
        <f>Datos!$C$9*1000000/Datos!$E$9</f>
        <v>62500000</v>
      </c>
      <c r="F6" s="21">
        <f>Datos!$C$9*1000000/Datos!$E$9</f>
        <v>62500000</v>
      </c>
      <c r="G6" s="21">
        <f>Datos!$C$9*1000000/Datos!$E$9</f>
        <v>62500000</v>
      </c>
      <c r="H6" s="21">
        <f>Datos!$C$9*1000000/Datos!$E$9</f>
        <v>62500000</v>
      </c>
      <c r="I6" s="21">
        <f>Datos!$C$9*1000000/Datos!$E$9</f>
        <v>62500000</v>
      </c>
      <c r="J6" s="21">
        <f>Datos!$C$9*1000000/Datos!$E$9</f>
        <v>62500000</v>
      </c>
      <c r="K6" s="21">
        <f>Datos!$C$9*1000000/Datos!$E$9</f>
        <v>62500000</v>
      </c>
    </row>
    <row r="7" spans="1:14" x14ac:dyDescent="0.2">
      <c r="A7" s="35" t="s">
        <v>22</v>
      </c>
      <c r="B7" s="21">
        <f>SUM(B2:B6)</f>
        <v>799800000</v>
      </c>
      <c r="C7" s="21">
        <f t="shared" ref="C7:K7" si="0">SUM(C2:C6)</f>
        <v>799800000</v>
      </c>
      <c r="D7" s="21">
        <f t="shared" si="0"/>
        <v>799800000</v>
      </c>
      <c r="E7" s="21">
        <f t="shared" si="0"/>
        <v>799800000</v>
      </c>
      <c r="F7" s="21">
        <f t="shared" si="0"/>
        <v>799800000</v>
      </c>
      <c r="G7" s="21">
        <f t="shared" si="0"/>
        <v>799800000</v>
      </c>
      <c r="H7" s="21">
        <f t="shared" si="0"/>
        <v>799800000</v>
      </c>
      <c r="I7" s="21">
        <f t="shared" si="0"/>
        <v>799800000</v>
      </c>
      <c r="J7" s="21">
        <f t="shared" si="0"/>
        <v>799800000</v>
      </c>
      <c r="K7" s="21">
        <f t="shared" si="0"/>
        <v>799800000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E71F-6DFA-A045-AE71-A6025EE383B4}">
  <dimension ref="A1:K7"/>
  <sheetViews>
    <sheetView workbookViewId="0">
      <selection activeCell="C25" sqref="C25"/>
    </sheetView>
  </sheetViews>
  <sheetFormatPr baseColWidth="10" defaultColWidth="11" defaultRowHeight="16" x14ac:dyDescent="0.2"/>
  <cols>
    <col min="1" max="1" width="30.5" customWidth="1"/>
    <col min="2" max="11" width="13.5" bestFit="1" customWidth="1"/>
  </cols>
  <sheetData>
    <row r="1" spans="1:11" x14ac:dyDescent="0.2">
      <c r="A1" s="31" t="s">
        <v>292</v>
      </c>
      <c r="B1" s="22" t="s">
        <v>85</v>
      </c>
      <c r="C1" s="22" t="s">
        <v>86</v>
      </c>
      <c r="D1" s="22" t="s">
        <v>87</v>
      </c>
      <c r="E1" s="22" t="s">
        <v>88</v>
      </c>
      <c r="F1" s="22" t="s">
        <v>89</v>
      </c>
      <c r="G1" s="22" t="s">
        <v>90</v>
      </c>
      <c r="H1" s="22" t="s">
        <v>91</v>
      </c>
      <c r="I1" s="22" t="s">
        <v>92</v>
      </c>
      <c r="J1" s="22" t="s">
        <v>93</v>
      </c>
      <c r="K1" s="22" t="s">
        <v>94</v>
      </c>
    </row>
    <row r="2" spans="1:11" x14ac:dyDescent="0.2">
      <c r="A2" s="32" t="s">
        <v>297</v>
      </c>
      <c r="B2" s="21">
        <f>1000000*Datos!$C$10*Datos!$C$25/5</f>
        <v>280000000</v>
      </c>
      <c r="C2" s="21">
        <f>1000000*Datos!$C$10*Datos!$C$25/5</f>
        <v>280000000</v>
      </c>
      <c r="D2" s="21">
        <f>1000000*Datos!$C$10*Datos!$C$25/5</f>
        <v>280000000</v>
      </c>
      <c r="E2" s="21">
        <f>1000000*Datos!$C$10*Datos!$C$25/5</f>
        <v>280000000</v>
      </c>
      <c r="F2" s="21">
        <f>1000000*Datos!$C$10*Datos!$C$25/5</f>
        <v>280000000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</row>
    <row r="3" spans="1:11" x14ac:dyDescent="0.2">
      <c r="A3" s="33" t="s">
        <v>298</v>
      </c>
      <c r="B3" s="21">
        <v>0</v>
      </c>
      <c r="C3" s="21">
        <v>0</v>
      </c>
      <c r="D3" s="21">
        <v>0</v>
      </c>
      <c r="E3" s="21">
        <v>0</v>
      </c>
      <c r="F3" s="21">
        <v>0</v>
      </c>
      <c r="G3" s="21">
        <f>1000000*Datos!$C$10*Datos!$C$25/5</f>
        <v>280000000</v>
      </c>
      <c r="H3" s="21">
        <f>1000000*Datos!$C$10*Datos!$C$25/5</f>
        <v>280000000</v>
      </c>
      <c r="I3" s="21">
        <f>1000000*Datos!$C$10*Datos!$C$25/5</f>
        <v>280000000</v>
      </c>
      <c r="J3" s="21">
        <f>1000000*Datos!$C$10*Datos!$C$25/5</f>
        <v>280000000</v>
      </c>
      <c r="K3" s="21">
        <f>1000000*Datos!$C$10*Datos!$C$25/5</f>
        <v>280000000</v>
      </c>
    </row>
    <row r="4" spans="1:11" x14ac:dyDescent="0.2">
      <c r="A4" s="32" t="s">
        <v>22</v>
      </c>
      <c r="B4" s="21">
        <f>SUM(B2:B3)</f>
        <v>280000000</v>
      </c>
      <c r="C4" s="21">
        <f t="shared" ref="C4:K4" si="0">SUM(C2:C3)</f>
        <v>280000000</v>
      </c>
      <c r="D4" s="21">
        <f t="shared" si="0"/>
        <v>280000000</v>
      </c>
      <c r="E4" s="21">
        <f t="shared" si="0"/>
        <v>280000000</v>
      </c>
      <c r="F4" s="21">
        <f t="shared" si="0"/>
        <v>280000000</v>
      </c>
      <c r="G4" s="21">
        <f t="shared" si="0"/>
        <v>280000000</v>
      </c>
      <c r="H4" s="21">
        <f t="shared" si="0"/>
        <v>280000000</v>
      </c>
      <c r="I4" s="21">
        <f t="shared" si="0"/>
        <v>280000000</v>
      </c>
      <c r="J4" s="21">
        <f t="shared" si="0"/>
        <v>280000000</v>
      </c>
      <c r="K4" s="21">
        <f t="shared" si="0"/>
        <v>280000000</v>
      </c>
    </row>
    <row r="5" spans="1:11" x14ac:dyDescent="0.2"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x14ac:dyDescent="0.2"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x14ac:dyDescent="0.2">
      <c r="B7" s="21"/>
      <c r="C7" s="21"/>
      <c r="D7" s="21"/>
      <c r="E7" s="21"/>
      <c r="F7" s="21"/>
      <c r="G7" s="21"/>
      <c r="H7" s="21"/>
      <c r="I7" s="21"/>
      <c r="J7" s="21"/>
      <c r="K7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9445-2C08-43B0-8FE5-992216A9CA7B}">
  <dimension ref="A1:P93"/>
  <sheetViews>
    <sheetView showGridLines="0" tabSelected="1" topLeftCell="A36" zoomScale="113" zoomScaleNormal="91" workbookViewId="0">
      <selection activeCell="D10" sqref="D10"/>
    </sheetView>
  </sheetViews>
  <sheetFormatPr baseColWidth="10" defaultColWidth="11" defaultRowHeight="12" x14ac:dyDescent="0.15"/>
  <cols>
    <col min="1" max="1" width="11" style="108"/>
    <col min="2" max="2" width="37.5" style="122" customWidth="1"/>
    <col min="3" max="3" width="19" style="108" bestFit="1" customWidth="1"/>
    <col min="4" max="4" width="21.6640625" style="108" bestFit="1" customWidth="1"/>
    <col min="5" max="10" width="17.6640625" style="108" bestFit="1" customWidth="1"/>
    <col min="11" max="13" width="18.6640625" style="108" bestFit="1" customWidth="1"/>
    <col min="14" max="14" width="26.6640625" style="108" customWidth="1"/>
    <col min="15" max="15" width="34.5" style="108" bestFit="1" customWidth="1"/>
    <col min="16" max="16" width="17.6640625" style="108" bestFit="1" customWidth="1"/>
    <col min="17" max="16384" width="11" style="108"/>
  </cols>
  <sheetData>
    <row r="1" spans="1:14" s="107" customFormat="1" ht="13" x14ac:dyDescent="0.15">
      <c r="B1" s="124" t="s">
        <v>183</v>
      </c>
      <c r="C1" s="125" t="s">
        <v>299</v>
      </c>
      <c r="D1" s="125" t="s">
        <v>85</v>
      </c>
      <c r="E1" s="125" t="s">
        <v>86</v>
      </c>
      <c r="F1" s="125" t="s">
        <v>87</v>
      </c>
      <c r="G1" s="125" t="s">
        <v>88</v>
      </c>
      <c r="H1" s="125" t="s">
        <v>89</v>
      </c>
      <c r="I1" s="125" t="s">
        <v>90</v>
      </c>
      <c r="J1" s="125" t="s">
        <v>91</v>
      </c>
      <c r="K1" s="125" t="s">
        <v>92</v>
      </c>
      <c r="L1" s="125" t="s">
        <v>93</v>
      </c>
      <c r="M1" s="125" t="s">
        <v>94</v>
      </c>
      <c r="N1" s="125"/>
    </row>
    <row r="2" spans="1:14" ht="13" x14ac:dyDescent="0.15">
      <c r="B2" s="122" t="s">
        <v>95</v>
      </c>
      <c r="C2" s="123">
        <v>0</v>
      </c>
      <c r="D2" s="123">
        <v>1</v>
      </c>
      <c r="E2" s="123">
        <v>2</v>
      </c>
      <c r="F2" s="123">
        <v>3</v>
      </c>
      <c r="G2" s="123">
        <v>4</v>
      </c>
      <c r="H2" s="123">
        <v>5</v>
      </c>
      <c r="I2" s="123">
        <v>6</v>
      </c>
      <c r="J2" s="123">
        <v>7</v>
      </c>
      <c r="K2" s="123">
        <v>8</v>
      </c>
      <c r="L2" s="123">
        <v>9</v>
      </c>
      <c r="M2" s="123">
        <v>10</v>
      </c>
      <c r="N2" s="123"/>
    </row>
    <row r="4" spans="1:14" ht="13" x14ac:dyDescent="0.15">
      <c r="B4" s="128" t="s">
        <v>96</v>
      </c>
      <c r="C4" s="129"/>
      <c r="D4" s="109">
        <v>5.8400000000000001E-2</v>
      </c>
      <c r="E4" s="109">
        <v>6.8400000000000002E-2</v>
      </c>
      <c r="F4" s="109">
        <v>6.5799999999999997E-2</v>
      </c>
      <c r="G4" s="109">
        <v>6.3700000000000007E-2</v>
      </c>
      <c r="H4" s="109">
        <v>6.1749999999999985E-2</v>
      </c>
      <c r="I4" s="109">
        <v>5.8499999999999996E-2</v>
      </c>
      <c r="J4" s="109">
        <v>5.8150000000000007E-2</v>
      </c>
      <c r="K4" s="109">
        <v>5.8800000000000005E-2</v>
      </c>
      <c r="L4" s="109">
        <v>5.8600000000000013E-2</v>
      </c>
      <c r="M4" s="109">
        <v>5.8499999999999996E-2</v>
      </c>
    </row>
    <row r="5" spans="1:14" ht="13" x14ac:dyDescent="0.15">
      <c r="B5" s="126" t="s">
        <v>300</v>
      </c>
      <c r="C5" s="127"/>
      <c r="D5" s="111">
        <v>0.35</v>
      </c>
      <c r="E5" s="111">
        <v>0.35</v>
      </c>
      <c r="F5" s="111">
        <v>0.35</v>
      </c>
      <c r="G5" s="111">
        <v>0.35</v>
      </c>
      <c r="H5" s="111">
        <v>0.35</v>
      </c>
      <c r="I5" s="111">
        <v>0.35</v>
      </c>
      <c r="J5" s="111">
        <v>0.35</v>
      </c>
      <c r="K5" s="111">
        <v>0.35</v>
      </c>
      <c r="L5" s="111">
        <v>0.35</v>
      </c>
      <c r="M5" s="111">
        <v>0.35</v>
      </c>
    </row>
    <row r="8" spans="1:14" ht="13" x14ac:dyDescent="0.15">
      <c r="B8" s="122" t="s">
        <v>301</v>
      </c>
      <c r="D8" s="112">
        <f>6500000</f>
        <v>6500000</v>
      </c>
      <c r="E8" s="112">
        <f>D8*(1+D4)*(1+Datos!$C$31)</f>
        <v>7292376</v>
      </c>
      <c r="F8" s="112">
        <f>E8*(1+E4)*(1+Datos!$C$31)</f>
        <v>8258644.9895040011</v>
      </c>
      <c r="G8" s="112">
        <f>F8*(1+F4)*(1+Datos!$C$31)</f>
        <v>9330187.6596021671</v>
      </c>
      <c r="H8" s="112">
        <f>G8*(1+G4)*(1+Datos!$C$31)</f>
        <v>10519991.850329956</v>
      </c>
      <c r="I8" s="112">
        <f>H8*(1+H4)*(1+Datos!$C$31)</f>
        <v>11839777.427913101</v>
      </c>
      <c r="J8" s="112">
        <f>I8*(1+I4)*(1+Datos!$C$31)</f>
        <v>13284348.671892779</v>
      </c>
      <c r="K8" s="112">
        <f>J8*(1+J4)*(1+Datos!$C$31)</f>
        <v>14900243.559993144</v>
      </c>
      <c r="L8" s="112">
        <f>K8*(1+K4)*(1+Datos!$C$31)</f>
        <v>16722960.554199986</v>
      </c>
      <c r="M8" s="112">
        <f>L8*(1+L4)*(1+Datos!$C$31)</f>
        <v>18765101.605236672</v>
      </c>
    </row>
    <row r="9" spans="1:14" ht="13" x14ac:dyDescent="0.15">
      <c r="B9" s="122" t="s">
        <v>302</v>
      </c>
      <c r="C9" s="135"/>
      <c r="D9" s="112">
        <f>Datos!C22</f>
        <v>1600000</v>
      </c>
      <c r="E9" s="112">
        <f>D9*(1+D4)*(1+Datos!$C$23)</f>
        <v>1727308.8</v>
      </c>
      <c r="F9" s="112">
        <f>E9*(1+E4)*(1+Datos!$C$23)</f>
        <v>1882365.8563584001</v>
      </c>
      <c r="G9" s="112">
        <f>F9*(1+F4)*(1+Datos!$C$23)</f>
        <v>2046350.0403009185</v>
      </c>
      <c r="H9" s="112">
        <f>G9*(1+G4)*(1+Datos!$C$23)</f>
        <v>2220236.5886254488</v>
      </c>
      <c r="I9" s="112">
        <f>H9*(1+H4)*(1+Datos!$C$23)</f>
        <v>2404482.9219325315</v>
      </c>
      <c r="J9" s="112">
        <f>I9*(1+I4)*(1+Datos!$C$23)</f>
        <v>2596048.0763228964</v>
      </c>
      <c r="K9" s="112">
        <f>J9*(1+J4)*(1+Datos!$C$23)</f>
        <v>2801948.437400294</v>
      </c>
      <c r="L9" s="112">
        <f>K9*(1+K4)*(1+Datos!$C$23)</f>
        <v>3026037.0656298199</v>
      </c>
      <c r="M9" s="112">
        <f>L9*(1+L4)*(1+Datos!$C$23)</f>
        <v>3267430.094429242</v>
      </c>
    </row>
    <row r="10" spans="1:14" ht="13" x14ac:dyDescent="0.15">
      <c r="B10" s="126" t="s">
        <v>303</v>
      </c>
      <c r="C10" s="136"/>
      <c r="D10" s="113">
        <v>1500</v>
      </c>
      <c r="E10" s="113">
        <v>5000</v>
      </c>
      <c r="F10" s="113">
        <v>5000</v>
      </c>
      <c r="G10" s="113">
        <v>5000</v>
      </c>
      <c r="H10" s="113">
        <v>5000</v>
      </c>
      <c r="I10" s="113">
        <v>5000</v>
      </c>
      <c r="J10" s="113">
        <v>5000</v>
      </c>
      <c r="K10" s="113">
        <v>5000</v>
      </c>
      <c r="L10" s="113">
        <v>5000</v>
      </c>
      <c r="M10" s="113">
        <v>5000</v>
      </c>
    </row>
    <row r="11" spans="1:14" x14ac:dyDescent="0.15"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14" x14ac:dyDescent="0.15">
      <c r="D12" s="130"/>
      <c r="E12" s="130"/>
      <c r="F12" s="130"/>
      <c r="G12" s="130"/>
      <c r="H12" s="130"/>
      <c r="I12" s="130"/>
      <c r="J12" s="130"/>
      <c r="K12" s="130"/>
      <c r="L12" s="130"/>
      <c r="M12" s="130"/>
    </row>
    <row r="13" spans="1:14" x14ac:dyDescent="0.15">
      <c r="D13" s="114"/>
      <c r="E13" s="114"/>
      <c r="F13" s="114"/>
      <c r="G13" s="114"/>
      <c r="H13" s="114"/>
      <c r="I13" s="114"/>
      <c r="J13" s="114"/>
      <c r="K13" s="114"/>
      <c r="L13" s="114"/>
      <c r="M13" s="114"/>
    </row>
    <row r="14" spans="1:14" ht="13" x14ac:dyDescent="0.15">
      <c r="B14" s="131" t="s">
        <v>304</v>
      </c>
      <c r="C14" s="132" t="s">
        <v>299</v>
      </c>
      <c r="D14" s="132" t="s">
        <v>85</v>
      </c>
      <c r="E14" s="132" t="s">
        <v>86</v>
      </c>
      <c r="F14" s="132" t="s">
        <v>87</v>
      </c>
      <c r="G14" s="132" t="s">
        <v>88</v>
      </c>
      <c r="H14" s="132" t="s">
        <v>89</v>
      </c>
      <c r="I14" s="132" t="s">
        <v>90</v>
      </c>
      <c r="J14" s="132" t="s">
        <v>91</v>
      </c>
      <c r="K14" s="132" t="s">
        <v>92</v>
      </c>
      <c r="L14" s="132" t="s">
        <v>93</v>
      </c>
      <c r="M14" s="132" t="s">
        <v>94</v>
      </c>
      <c r="N14" s="132" t="s">
        <v>305</v>
      </c>
    </row>
    <row r="15" spans="1:14" ht="13" x14ac:dyDescent="0.15">
      <c r="A15" s="110">
        <f>D15/$D$15</f>
        <v>1</v>
      </c>
      <c r="B15" s="122" t="s">
        <v>306</v>
      </c>
      <c r="D15" s="112">
        <f>D8*D10</f>
        <v>9750000000</v>
      </c>
      <c r="E15" s="112">
        <f t="shared" ref="E15:M15" si="0">E8*E10</f>
        <v>36461880000</v>
      </c>
      <c r="F15" s="112">
        <f t="shared" si="0"/>
        <v>41293224947.520004</v>
      </c>
      <c r="G15" s="112">
        <f t="shared" si="0"/>
        <v>46650938298.010834</v>
      </c>
      <c r="H15" s="112">
        <f t="shared" si="0"/>
        <v>52599959251.64978</v>
      </c>
      <c r="I15" s="112">
        <f t="shared" si="0"/>
        <v>59198887139.565506</v>
      </c>
      <c r="J15" s="112">
        <f t="shared" si="0"/>
        <v>66421743359.463898</v>
      </c>
      <c r="K15" s="112">
        <f t="shared" si="0"/>
        <v>74501217799.965714</v>
      </c>
      <c r="L15" s="112">
        <f t="shared" si="0"/>
        <v>83614802770.999924</v>
      </c>
      <c r="M15" s="112">
        <f t="shared" si="0"/>
        <v>93825508026.183365</v>
      </c>
    </row>
    <row r="16" spans="1:14" ht="13" x14ac:dyDescent="0.15">
      <c r="A16" s="110">
        <f t="shared" ref="A16:A37" si="1">D16/$D$15</f>
        <v>0.24615384615384617</v>
      </c>
      <c r="B16" s="122" t="s">
        <v>307</v>
      </c>
      <c r="D16" s="112">
        <f>D9*D10</f>
        <v>2400000000</v>
      </c>
      <c r="E16" s="112">
        <f t="shared" ref="E16:M16" si="2">E9*E10</f>
        <v>8636544000</v>
      </c>
      <c r="F16" s="112">
        <f t="shared" si="2"/>
        <v>9411829281.7919998</v>
      </c>
      <c r="G16" s="112">
        <f t="shared" si="2"/>
        <v>10231750201.504593</v>
      </c>
      <c r="H16" s="112">
        <f t="shared" si="2"/>
        <v>11101182943.127243</v>
      </c>
      <c r="I16" s="112">
        <f t="shared" si="2"/>
        <v>12022414609.662657</v>
      </c>
      <c r="J16" s="112">
        <f t="shared" si="2"/>
        <v>12980240381.614483</v>
      </c>
      <c r="K16" s="112">
        <f t="shared" si="2"/>
        <v>14009742187.001471</v>
      </c>
      <c r="L16" s="112">
        <f t="shared" si="2"/>
        <v>15130185328.149099</v>
      </c>
      <c r="M16" s="112">
        <f t="shared" si="2"/>
        <v>16337150472.14621</v>
      </c>
    </row>
    <row r="17" spans="1:13" ht="13" x14ac:dyDescent="0.15">
      <c r="A17" s="110">
        <f>D17/D15</f>
        <v>3.0769230769230771E-2</v>
      </c>
      <c r="B17" s="122" t="s">
        <v>308</v>
      </c>
      <c r="D17" s="112">
        <f>Nómina!H3</f>
        <v>300000000</v>
      </c>
      <c r="E17" s="112">
        <f>D17*(1+D4)</f>
        <v>317520000</v>
      </c>
      <c r="F17" s="112">
        <f t="shared" ref="F17:M17" si="3">E17*(1+E4)</f>
        <v>339238368</v>
      </c>
      <c r="G17" s="112">
        <f t="shared" si="3"/>
        <v>361560252.61440003</v>
      </c>
      <c r="H17" s="112">
        <f t="shared" si="3"/>
        <v>384591640.70593733</v>
      </c>
      <c r="I17" s="112">
        <f t="shared" si="3"/>
        <v>408340174.51952893</v>
      </c>
      <c r="J17" s="112">
        <f t="shared" si="3"/>
        <v>432228074.72892135</v>
      </c>
      <c r="K17" s="112">
        <f t="shared" si="3"/>
        <v>457362137.2744081</v>
      </c>
      <c r="L17" s="112">
        <f t="shared" si="3"/>
        <v>484255030.94614327</v>
      </c>
      <c r="M17" s="112">
        <f t="shared" si="3"/>
        <v>512632375.75958723</v>
      </c>
    </row>
    <row r="18" spans="1:13" ht="13" x14ac:dyDescent="0.15">
      <c r="A18" s="110">
        <f>D18/D15</f>
        <v>5.5E-2</v>
      </c>
      <c r="B18" s="122" t="s">
        <v>309</v>
      </c>
      <c r="D18" s="112">
        <f>D15*Datos!$C$21</f>
        <v>536250000</v>
      </c>
      <c r="E18" s="112">
        <f>E15*Datos!$C$21</f>
        <v>2005403400</v>
      </c>
      <c r="F18" s="112">
        <f>F15*Datos!$C$21</f>
        <v>2271127372.1136003</v>
      </c>
      <c r="G18" s="112">
        <f>G15*Datos!$C$21</f>
        <v>2565801606.3905959</v>
      </c>
      <c r="H18" s="112">
        <f>H15*Datos!$C$21</f>
        <v>2892997758.8407378</v>
      </c>
      <c r="I18" s="112">
        <f>I15*Datos!$C$21</f>
        <v>3255938792.6761026</v>
      </c>
      <c r="J18" s="112">
        <f>J15*Datos!$C$21</f>
        <v>3653195884.7705145</v>
      </c>
      <c r="K18" s="112">
        <f>K15*Datos!$C$21</f>
        <v>4097566978.9981141</v>
      </c>
      <c r="L18" s="112">
        <f>L15*Datos!$C$21</f>
        <v>4598814152.4049959</v>
      </c>
      <c r="M18" s="112">
        <f>M15*Datos!$C$21</f>
        <v>5160402941.4400854</v>
      </c>
    </row>
    <row r="19" spans="1:13" ht="13" x14ac:dyDescent="0.15">
      <c r="A19" s="110">
        <f t="shared" si="1"/>
        <v>0.66807692307692312</v>
      </c>
      <c r="B19" s="124" t="s">
        <v>310</v>
      </c>
      <c r="C19" s="107"/>
      <c r="D19" s="120">
        <f>D15-D16-D17-D18</f>
        <v>6513750000</v>
      </c>
      <c r="E19" s="120">
        <f t="shared" ref="E19:M19" si="4">E15-E16-E17-E18</f>
        <v>25502412600</v>
      </c>
      <c r="F19" s="120">
        <f t="shared" si="4"/>
        <v>29271029925.614403</v>
      </c>
      <c r="G19" s="120">
        <f t="shared" si="4"/>
        <v>33491826237.501244</v>
      </c>
      <c r="H19" s="120">
        <f t="shared" si="4"/>
        <v>38221186908.975861</v>
      </c>
      <c r="I19" s="120">
        <f t="shared" si="4"/>
        <v>43512193562.707214</v>
      </c>
      <c r="J19" s="120">
        <f t="shared" si="4"/>
        <v>49356079018.349976</v>
      </c>
      <c r="K19" s="120">
        <f t="shared" si="4"/>
        <v>55936546496.691719</v>
      </c>
      <c r="L19" s="120">
        <f t="shared" si="4"/>
        <v>63401548259.49968</v>
      </c>
      <c r="M19" s="120">
        <f t="shared" si="4"/>
        <v>71815322236.837494</v>
      </c>
    </row>
    <row r="20" spans="1:13" ht="13" x14ac:dyDescent="0.15">
      <c r="A20" s="110">
        <f t="shared" si="1"/>
        <v>0.15261538461538462</v>
      </c>
      <c r="B20" s="122" t="s">
        <v>311</v>
      </c>
      <c r="D20" s="112">
        <f>Nómina!H4</f>
        <v>1488000000</v>
      </c>
      <c r="E20" s="112">
        <f>D20*(1+D4)</f>
        <v>1574899200</v>
      </c>
      <c r="F20" s="112">
        <f t="shared" ref="F20:L20" si="5">E20*(1+E4)</f>
        <v>1682622305.28</v>
      </c>
      <c r="G20" s="112">
        <f t="shared" si="5"/>
        <v>1793338852.9674242</v>
      </c>
      <c r="H20" s="112">
        <f t="shared" si="5"/>
        <v>1907574537.9014492</v>
      </c>
      <c r="I20" s="112">
        <f t="shared" si="5"/>
        <v>2025367265.6168637</v>
      </c>
      <c r="J20" s="112">
        <f t="shared" si="5"/>
        <v>2143851250.6554503</v>
      </c>
      <c r="K20" s="112">
        <f t="shared" si="5"/>
        <v>2268516200.8810644</v>
      </c>
      <c r="L20" s="112">
        <f t="shared" si="5"/>
        <v>2401904953.4928708</v>
      </c>
      <c r="M20" s="112">
        <f>L20*(1+L4)</f>
        <v>2542656583.7675529</v>
      </c>
    </row>
    <row r="21" spans="1:13" ht="13" x14ac:dyDescent="0.15">
      <c r="A21" s="110">
        <f t="shared" si="1"/>
        <v>0.25</v>
      </c>
      <c r="B21" s="122" t="s">
        <v>312</v>
      </c>
      <c r="D21" s="112">
        <f>D15*Datos!$C$26</f>
        <v>2437500000</v>
      </c>
      <c r="E21" s="112">
        <f>E15*Datos!$C$26</f>
        <v>9115470000</v>
      </c>
      <c r="F21" s="112">
        <f>F15*Datos!$C$26</f>
        <v>10323306236.880001</v>
      </c>
      <c r="G21" s="112">
        <f>G15*Datos!$C$26</f>
        <v>11662734574.502708</v>
      </c>
      <c r="H21" s="112">
        <f>H15*Datos!$C$26</f>
        <v>13149989812.912445</v>
      </c>
      <c r="I21" s="112">
        <f>I15*Datos!$C$26</f>
        <v>14799721784.891376</v>
      </c>
      <c r="J21" s="112">
        <f>J15*Datos!$C$26</f>
        <v>16605435839.865974</v>
      </c>
      <c r="K21" s="112">
        <f>K15*Datos!$C$26</f>
        <v>18625304449.991428</v>
      </c>
      <c r="L21" s="112">
        <f>L15*Datos!$C$26</f>
        <v>20903700692.749981</v>
      </c>
      <c r="M21" s="112">
        <f>M15*Datos!$C$26</f>
        <v>23456377006.545841</v>
      </c>
    </row>
    <row r="22" spans="1:13" ht="13" x14ac:dyDescent="0.15">
      <c r="A22" s="110">
        <f t="shared" si="1"/>
        <v>8.2030769230769227E-2</v>
      </c>
      <c r="B22" s="122" t="s">
        <v>313</v>
      </c>
      <c r="D22" s="112" cm="1">
        <f t="array" ref="D22:M22">Depreciaciones!B7:K7</f>
        <v>799800000</v>
      </c>
      <c r="E22" s="112">
        <v>799800000</v>
      </c>
      <c r="F22" s="112">
        <v>799800000</v>
      </c>
      <c r="G22" s="112">
        <v>799800000</v>
      </c>
      <c r="H22" s="112">
        <v>799800000</v>
      </c>
      <c r="I22" s="112">
        <v>799800000</v>
      </c>
      <c r="J22" s="112">
        <v>799800000</v>
      </c>
      <c r="K22" s="112">
        <v>799800000</v>
      </c>
      <c r="L22" s="112">
        <v>799800000</v>
      </c>
      <c r="M22" s="112">
        <v>799800000</v>
      </c>
    </row>
    <row r="23" spans="1:13" ht="13" x14ac:dyDescent="0.15">
      <c r="A23" s="110">
        <f t="shared" si="1"/>
        <v>0</v>
      </c>
      <c r="B23" s="122" t="s">
        <v>117</v>
      </c>
      <c r="D23" s="112">
        <f>0</f>
        <v>0</v>
      </c>
      <c r="E23" s="112">
        <f>0</f>
        <v>0</v>
      </c>
      <c r="F23" s="112">
        <f>0</f>
        <v>0</v>
      </c>
      <c r="G23" s="112">
        <f>0</f>
        <v>0</v>
      </c>
      <c r="H23" s="112">
        <f>0</f>
        <v>0</v>
      </c>
      <c r="I23" s="112">
        <f>0</f>
        <v>0</v>
      </c>
      <c r="J23" s="112">
        <f>0</f>
        <v>0</v>
      </c>
      <c r="K23" s="112">
        <f>0</f>
        <v>0</v>
      </c>
      <c r="L23" s="112">
        <f>0</f>
        <v>0</v>
      </c>
      <c r="M23" s="112">
        <f>0</f>
        <v>0</v>
      </c>
    </row>
    <row r="24" spans="1:13" ht="13" x14ac:dyDescent="0.15">
      <c r="A24" s="110">
        <f>D24/$D$15</f>
        <v>0.02</v>
      </c>
      <c r="B24" s="122" t="s">
        <v>44</v>
      </c>
      <c r="D24" s="112">
        <f>D15*Datos!$C$27</f>
        <v>195000000</v>
      </c>
      <c r="E24" s="112">
        <f>E15*Datos!$C$27</f>
        <v>729237600</v>
      </c>
      <c r="F24" s="112">
        <f>F15*Datos!$C$27</f>
        <v>825864498.95040011</v>
      </c>
      <c r="G24" s="112">
        <f>G15*Datos!$C$27</f>
        <v>933018765.96021664</v>
      </c>
      <c r="H24" s="112">
        <f>H15*Datos!$C$27</f>
        <v>1051999185.0329956</v>
      </c>
      <c r="I24" s="112">
        <f>I15*Datos!$C$27</f>
        <v>1183977742.7913101</v>
      </c>
      <c r="J24" s="112">
        <f>J15*Datos!$C$27</f>
        <v>1328434867.1892779</v>
      </c>
      <c r="K24" s="112">
        <f>K15*Datos!$C$27</f>
        <v>1490024355.9993143</v>
      </c>
      <c r="L24" s="112">
        <f>L15*Datos!$C$27</f>
        <v>1672296055.4199984</v>
      </c>
      <c r="M24" s="112">
        <f>M15*Datos!$C$27</f>
        <v>1876510160.5236673</v>
      </c>
    </row>
    <row r="25" spans="1:13" ht="13" x14ac:dyDescent="0.15">
      <c r="A25" s="110">
        <f>D25/$D$15</f>
        <v>2.8717948717948718E-2</v>
      </c>
      <c r="B25" s="122" t="s">
        <v>371</v>
      </c>
      <c r="D25" s="112" cm="1">
        <f t="array" ref="D25:M25">'Amortización gasto seguro'!B4:K4</f>
        <v>280000000</v>
      </c>
      <c r="E25" s="112">
        <v>280000000</v>
      </c>
      <c r="F25" s="112">
        <v>280000000</v>
      </c>
      <c r="G25" s="112">
        <v>280000000</v>
      </c>
      <c r="H25" s="112">
        <v>280000000</v>
      </c>
      <c r="I25" s="112">
        <v>280000000</v>
      </c>
      <c r="J25" s="112">
        <v>280000000</v>
      </c>
      <c r="K25" s="112">
        <v>280000000</v>
      </c>
      <c r="L25" s="112">
        <v>280000000</v>
      </c>
      <c r="M25" s="112">
        <v>280000000</v>
      </c>
    </row>
    <row r="26" spans="1:13" ht="13" x14ac:dyDescent="0.15">
      <c r="A26" s="110">
        <f t="shared" si="1"/>
        <v>0.13471282051282052</v>
      </c>
      <c r="B26" s="124" t="s">
        <v>314</v>
      </c>
      <c r="C26" s="107"/>
      <c r="D26" s="120">
        <f>D19-D20-D21-D22-D23-D24-D25</f>
        <v>1313450000</v>
      </c>
      <c r="E26" s="120">
        <f t="shared" ref="E26:M26" si="6">E19-E20-E21-E22-E23-E24</f>
        <v>13283005800</v>
      </c>
      <c r="F26" s="120">
        <f t="shared" si="6"/>
        <v>15639436884.504004</v>
      </c>
      <c r="G26" s="120">
        <f t="shared" si="6"/>
        <v>18302934044.070896</v>
      </c>
      <c r="H26" s="120">
        <f t="shared" si="6"/>
        <v>21311823373.128967</v>
      </c>
      <c r="I26" s="120">
        <f t="shared" si="6"/>
        <v>24703326769.407661</v>
      </c>
      <c r="J26" s="120">
        <f t="shared" si="6"/>
        <v>28478557060.639275</v>
      </c>
      <c r="K26" s="120">
        <f t="shared" si="6"/>
        <v>32752901489.819916</v>
      </c>
      <c r="L26" s="120">
        <f t="shared" si="6"/>
        <v>37623846557.836823</v>
      </c>
      <c r="M26" s="120">
        <f t="shared" si="6"/>
        <v>43139978486.000443</v>
      </c>
    </row>
    <row r="27" spans="1:13" ht="13" x14ac:dyDescent="0.15">
      <c r="A27" s="110">
        <f t="shared" si="1"/>
        <v>9.0020275930729962E-3</v>
      </c>
      <c r="B27" s="122" t="s">
        <v>315</v>
      </c>
      <c r="D27" s="112" cm="1">
        <f t="array" ref="D27:M27">TRANSPOSE(Bancos!Y22:Y31)*100000</f>
        <v>87769769.032461718</v>
      </c>
      <c r="E27" s="112">
        <v>168956805.38748878</v>
      </c>
      <c r="F27" s="112">
        <v>151402851.58099645</v>
      </c>
      <c r="G27" s="112">
        <v>133848897.77450413</v>
      </c>
      <c r="H27" s="112">
        <v>116294943.96801177</v>
      </c>
      <c r="I27" s="112">
        <v>98740990.161519423</v>
      </c>
      <c r="J27" s="112">
        <v>81187036.355027094</v>
      </c>
      <c r="K27" s="112">
        <v>63633082.548534751</v>
      </c>
      <c r="L27" s="112">
        <v>46079128.742042407</v>
      </c>
      <c r="M27" s="112">
        <v>21942442.258115429</v>
      </c>
    </row>
    <row r="28" spans="1:13" ht="13" x14ac:dyDescent="0.15">
      <c r="A28" s="110">
        <f t="shared" si="1"/>
        <v>0.12571079291974752</v>
      </c>
      <c r="B28" s="124" t="s">
        <v>316</v>
      </c>
      <c r="C28" s="107"/>
      <c r="D28" s="120">
        <f>D26-D27</f>
        <v>1225680230.9675384</v>
      </c>
      <c r="E28" s="120">
        <f t="shared" ref="E28:M28" si="7">E26-E27</f>
        <v>13114048994.612511</v>
      </c>
      <c r="F28" s="120">
        <f t="shared" si="7"/>
        <v>15488034032.923008</v>
      </c>
      <c r="G28" s="120">
        <f t="shared" si="7"/>
        <v>18169085146.296391</v>
      </c>
      <c r="H28" s="120">
        <f t="shared" si="7"/>
        <v>21195528429.160957</v>
      </c>
      <c r="I28" s="120">
        <f t="shared" si="7"/>
        <v>24604585779.246143</v>
      </c>
      <c r="J28" s="120">
        <f t="shared" si="7"/>
        <v>28397370024.284248</v>
      </c>
      <c r="K28" s="120">
        <f t="shared" si="7"/>
        <v>32689268407.271381</v>
      </c>
      <c r="L28" s="120">
        <f t="shared" si="7"/>
        <v>37577767429.09478</v>
      </c>
      <c r="M28" s="120">
        <f t="shared" si="7"/>
        <v>43118036043.742325</v>
      </c>
    </row>
    <row r="29" spans="1:13" ht="13" x14ac:dyDescent="0.15">
      <c r="A29" s="110">
        <f t="shared" si="1"/>
        <v>4.3998777521911635E-2</v>
      </c>
      <c r="B29" s="122" t="s">
        <v>317</v>
      </c>
      <c r="D29" s="112">
        <f t="shared" ref="D29:M29" si="8">IF(D28&lt;0,0,D28*D5)</f>
        <v>428988080.83863842</v>
      </c>
      <c r="E29" s="112">
        <f t="shared" si="8"/>
        <v>4589917148.114378</v>
      </c>
      <c r="F29" s="112">
        <f t="shared" si="8"/>
        <v>5420811911.5230522</v>
      </c>
      <c r="G29" s="112">
        <f t="shared" si="8"/>
        <v>6359179801.2037363</v>
      </c>
      <c r="H29" s="112">
        <f t="shared" si="8"/>
        <v>7418434950.2063351</v>
      </c>
      <c r="I29" s="112">
        <f t="shared" si="8"/>
        <v>8611605022.7361488</v>
      </c>
      <c r="J29" s="112">
        <f t="shared" si="8"/>
        <v>9939079508.4994869</v>
      </c>
      <c r="K29" s="112">
        <f t="shared" si="8"/>
        <v>11441243942.544983</v>
      </c>
      <c r="L29" s="112">
        <f t="shared" si="8"/>
        <v>13152218600.183172</v>
      </c>
      <c r="M29" s="112">
        <f t="shared" si="8"/>
        <v>15091312615.309813</v>
      </c>
    </row>
    <row r="30" spans="1:13" ht="13" x14ac:dyDescent="0.15">
      <c r="A30" s="110">
        <f t="shared" si="1"/>
        <v>8.1712015397835888E-2</v>
      </c>
      <c r="B30" s="124" t="s">
        <v>318</v>
      </c>
      <c r="C30" s="107"/>
      <c r="D30" s="120">
        <f>D28-D29</f>
        <v>796692150.12889993</v>
      </c>
      <c r="E30" s="120">
        <f t="shared" ref="E30:M30" si="9">E28-E29</f>
        <v>8524131846.4981327</v>
      </c>
      <c r="F30" s="120">
        <f t="shared" si="9"/>
        <v>10067222121.399956</v>
      </c>
      <c r="G30" s="120">
        <f t="shared" si="9"/>
        <v>11809905345.092655</v>
      </c>
      <c r="H30" s="120">
        <f t="shared" si="9"/>
        <v>13777093478.954622</v>
      </c>
      <c r="I30" s="120">
        <f t="shared" si="9"/>
        <v>15992980756.509995</v>
      </c>
      <c r="J30" s="120">
        <f t="shared" si="9"/>
        <v>18458290515.78476</v>
      </c>
      <c r="K30" s="120">
        <f t="shared" si="9"/>
        <v>21248024464.726398</v>
      </c>
      <c r="L30" s="120">
        <f t="shared" si="9"/>
        <v>24425548828.911606</v>
      </c>
      <c r="M30" s="120">
        <f t="shared" si="9"/>
        <v>28026723428.43251</v>
      </c>
    </row>
    <row r="31" spans="1:13" x14ac:dyDescent="0.15">
      <c r="A31" s="110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 ht="13" x14ac:dyDescent="0.15">
      <c r="A32" s="110"/>
      <c r="B32" s="124" t="s">
        <v>319</v>
      </c>
      <c r="C32" s="107"/>
      <c r="D32" s="120">
        <f t="shared" ref="D32:M32" si="10">D26+D22+D23</f>
        <v>2113250000</v>
      </c>
      <c r="E32" s="120">
        <f t="shared" si="10"/>
        <v>14082805800</v>
      </c>
      <c r="F32" s="120">
        <f t="shared" si="10"/>
        <v>16439236884.504004</v>
      </c>
      <c r="G32" s="120">
        <f t="shared" si="10"/>
        <v>19102734044.070896</v>
      </c>
      <c r="H32" s="120">
        <f t="shared" si="10"/>
        <v>22111623373.128967</v>
      </c>
      <c r="I32" s="120">
        <f t="shared" si="10"/>
        <v>25503126769.407661</v>
      </c>
      <c r="J32" s="120">
        <f t="shared" si="10"/>
        <v>29278357060.639275</v>
      </c>
      <c r="K32" s="120">
        <f t="shared" si="10"/>
        <v>33552701489.819916</v>
      </c>
      <c r="L32" s="120">
        <f t="shared" si="10"/>
        <v>38423646557.836823</v>
      </c>
      <c r="M32" s="120">
        <f t="shared" si="10"/>
        <v>43939778486.000443</v>
      </c>
    </row>
    <row r="33" spans="1:16" x14ac:dyDescent="0.15">
      <c r="A33" s="110"/>
      <c r="D33" s="137"/>
    </row>
    <row r="34" spans="1:16" ht="13" x14ac:dyDescent="0.15">
      <c r="A34" s="110">
        <f t="shared" si="1"/>
        <v>8.3333333333333329E-2</v>
      </c>
      <c r="B34" s="122" t="s">
        <v>320</v>
      </c>
      <c r="D34" s="112">
        <f>(Datos!$C$28/360)*'Estado de resultados'!D15</f>
        <v>812500000</v>
      </c>
      <c r="E34" s="112">
        <f>(Datos!$C$28/360)*'Estado de resultados'!E15</f>
        <v>3038490000</v>
      </c>
      <c r="F34" s="112">
        <f>(Datos!$C$28/360)*'Estado de resultados'!F15</f>
        <v>3441102078.96</v>
      </c>
      <c r="G34" s="112">
        <f>(Datos!$C$28/360)*'Estado de resultados'!G15</f>
        <v>3887578191.5009027</v>
      </c>
      <c r="H34" s="112">
        <f>(Datos!$C$28/360)*'Estado de resultados'!H15</f>
        <v>4383329937.6374817</v>
      </c>
      <c r="I34" s="112">
        <f>(Datos!$C$28/360)*'Estado de resultados'!I15</f>
        <v>4933240594.9637918</v>
      </c>
      <c r="J34" s="112">
        <f>(Datos!$C$28/360)*'Estado de resultados'!J15</f>
        <v>5535145279.9553242</v>
      </c>
      <c r="K34" s="112">
        <f>(Datos!$C$28/360)*'Estado de resultados'!K15</f>
        <v>6208434816.6638088</v>
      </c>
      <c r="L34" s="112">
        <f>(Datos!$C$28/360)*'Estado de resultados'!L15</f>
        <v>6967900230.9166603</v>
      </c>
      <c r="M34" s="112">
        <f>(Datos!$C$28/360)*'Estado de resultados'!M15</f>
        <v>7818792335.5152798</v>
      </c>
    </row>
    <row r="35" spans="1:16" ht="13" x14ac:dyDescent="0.15">
      <c r="A35" s="110"/>
      <c r="B35" s="124" t="s">
        <v>321</v>
      </c>
      <c r="D35" s="112">
        <f>D34</f>
        <v>812500000</v>
      </c>
      <c r="E35" s="112">
        <f t="shared" ref="E35:M35" si="11">E34</f>
        <v>3038490000</v>
      </c>
      <c r="F35" s="112">
        <f t="shared" si="11"/>
        <v>3441102078.96</v>
      </c>
      <c r="G35" s="112">
        <f t="shared" si="11"/>
        <v>3887578191.5009027</v>
      </c>
      <c r="H35" s="112">
        <f t="shared" si="11"/>
        <v>4383329937.6374817</v>
      </c>
      <c r="I35" s="112">
        <f t="shared" si="11"/>
        <v>4933240594.9637918</v>
      </c>
      <c r="J35" s="112">
        <f t="shared" si="11"/>
        <v>5535145279.9553242</v>
      </c>
      <c r="K35" s="112">
        <f t="shared" si="11"/>
        <v>6208434816.6638088</v>
      </c>
      <c r="L35" s="112">
        <f t="shared" si="11"/>
        <v>6967900230.9166603</v>
      </c>
      <c r="M35" s="112">
        <f t="shared" si="11"/>
        <v>7818792335.5152798</v>
      </c>
    </row>
    <row r="36" spans="1:16" ht="13" x14ac:dyDescent="0.15">
      <c r="A36" s="110">
        <f t="shared" si="1"/>
        <v>6.1538461538461542E-2</v>
      </c>
      <c r="B36" s="122" t="s">
        <v>322</v>
      </c>
      <c r="D36" s="112">
        <f>(Datos!$C$29/360)*'Estado de resultados'!D16</f>
        <v>600000000</v>
      </c>
      <c r="E36" s="112">
        <f>(Datos!$C$29/360)*'Estado de resultados'!E16</f>
        <v>2159136000</v>
      </c>
      <c r="F36" s="112">
        <f>(Datos!$C$29/360)*'Estado de resultados'!F16</f>
        <v>2352957320.448</v>
      </c>
      <c r="G36" s="112">
        <f>(Datos!$C$29/360)*'Estado de resultados'!G16</f>
        <v>2557937550.3761482</v>
      </c>
      <c r="H36" s="112">
        <f>(Datos!$C$29/360)*'Estado de resultados'!H16</f>
        <v>2775295735.7818108</v>
      </c>
      <c r="I36" s="112">
        <f>(Datos!$C$29/360)*'Estado de resultados'!I16</f>
        <v>3005603652.4156642</v>
      </c>
      <c r="J36" s="112">
        <f>(Datos!$C$29/360)*'Estado de resultados'!J16</f>
        <v>3245060095.4036207</v>
      </c>
      <c r="K36" s="112">
        <f>(Datos!$C$29/360)*'Estado de resultados'!K16</f>
        <v>3502435546.7503676</v>
      </c>
      <c r="L36" s="112">
        <f>(Datos!$C$29/360)*'Estado de resultados'!L16</f>
        <v>3782546332.0372748</v>
      </c>
      <c r="M36" s="112">
        <f>(Datos!$C$29/360)*'Estado de resultados'!M16</f>
        <v>4084287618.0365524</v>
      </c>
    </row>
    <row r="37" spans="1:16" ht="13" x14ac:dyDescent="0.15">
      <c r="A37" s="110">
        <f t="shared" si="1"/>
        <v>4.3998777521911635E-2</v>
      </c>
      <c r="B37" s="122" t="s">
        <v>323</v>
      </c>
      <c r="D37" s="112">
        <f>D29</f>
        <v>428988080.83863842</v>
      </c>
      <c r="E37" s="112">
        <f t="shared" ref="E37:M37" si="12">E29</f>
        <v>4589917148.114378</v>
      </c>
      <c r="F37" s="112">
        <f t="shared" si="12"/>
        <v>5420811911.5230522</v>
      </c>
      <c r="G37" s="112">
        <f t="shared" si="12"/>
        <v>6359179801.2037363</v>
      </c>
      <c r="H37" s="112">
        <f t="shared" si="12"/>
        <v>7418434950.2063351</v>
      </c>
      <c r="I37" s="112">
        <f t="shared" si="12"/>
        <v>8611605022.7361488</v>
      </c>
      <c r="J37" s="112">
        <f t="shared" si="12"/>
        <v>9939079508.4994869</v>
      </c>
      <c r="K37" s="112">
        <f t="shared" si="12"/>
        <v>11441243942.544983</v>
      </c>
      <c r="L37" s="112">
        <f t="shared" si="12"/>
        <v>13152218600.183172</v>
      </c>
      <c r="M37" s="112">
        <f t="shared" si="12"/>
        <v>15091312615.309813</v>
      </c>
    </row>
    <row r="38" spans="1:16" ht="13" x14ac:dyDescent="0.15">
      <c r="A38" s="110"/>
      <c r="B38" s="124" t="s">
        <v>324</v>
      </c>
      <c r="C38" s="107"/>
      <c r="D38" s="120">
        <f>D35-D36-D37</f>
        <v>-216488080.83863842</v>
      </c>
      <c r="E38" s="120">
        <f>E35-E36-E37</f>
        <v>-3710563148.114378</v>
      </c>
      <c r="F38" s="120">
        <f t="shared" ref="F38:M38" si="13">F35-F36-F37</f>
        <v>-4332667153.0110521</v>
      </c>
      <c r="G38" s="120">
        <f t="shared" si="13"/>
        <v>-5029539160.0789814</v>
      </c>
      <c r="H38" s="120">
        <f t="shared" si="13"/>
        <v>-5810400748.3506641</v>
      </c>
      <c r="I38" s="120">
        <f t="shared" si="13"/>
        <v>-6683968080.1880207</v>
      </c>
      <c r="J38" s="120">
        <f t="shared" si="13"/>
        <v>-7648994323.9477835</v>
      </c>
      <c r="K38" s="120">
        <f t="shared" si="13"/>
        <v>-8735244672.6315422</v>
      </c>
      <c r="L38" s="120">
        <f t="shared" si="13"/>
        <v>-9966864701.3037872</v>
      </c>
      <c r="M38" s="120">
        <f t="shared" si="13"/>
        <v>-11356807897.831085</v>
      </c>
      <c r="O38" s="108" t="s">
        <v>325</v>
      </c>
      <c r="P38" s="116">
        <v>0.3</v>
      </c>
    </row>
    <row r="39" spans="1:16" ht="13" x14ac:dyDescent="0.15">
      <c r="A39" s="110"/>
      <c r="B39" s="124" t="s">
        <v>326</v>
      </c>
      <c r="C39" s="107"/>
      <c r="D39" s="120">
        <f>D38</f>
        <v>-216488080.83863842</v>
      </c>
      <c r="E39" s="120">
        <f>E38-D38</f>
        <v>-3494075067.2757397</v>
      </c>
      <c r="F39" s="120">
        <f t="shared" ref="F39:M39" si="14">F38-E38</f>
        <v>-622104004.89667416</v>
      </c>
      <c r="G39" s="120">
        <f t="shared" si="14"/>
        <v>-696872007.06792927</v>
      </c>
      <c r="H39" s="120">
        <f t="shared" si="14"/>
        <v>-780861588.27168274</v>
      </c>
      <c r="I39" s="120">
        <f t="shared" si="14"/>
        <v>-873567331.83735657</v>
      </c>
      <c r="J39" s="120">
        <f t="shared" si="14"/>
        <v>-965026243.75976276</v>
      </c>
      <c r="K39" s="120">
        <f t="shared" si="14"/>
        <v>-1086250348.6837587</v>
      </c>
      <c r="L39" s="120">
        <f t="shared" si="14"/>
        <v>-1231620028.672245</v>
      </c>
      <c r="M39" s="120">
        <f t="shared" si="14"/>
        <v>-1389943196.527298</v>
      </c>
      <c r="O39" s="108" t="s">
        <v>327</v>
      </c>
      <c r="P39" s="116">
        <v>0.105</v>
      </c>
    </row>
    <row r="40" spans="1:16" x14ac:dyDescent="0.15">
      <c r="A40" s="110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O40" s="108" t="s">
        <v>328</v>
      </c>
      <c r="P40" s="116">
        <v>0.15</v>
      </c>
    </row>
    <row r="41" spans="1:16" ht="13" x14ac:dyDescent="0.15">
      <c r="A41" s="110"/>
      <c r="B41" s="122" t="s">
        <v>329</v>
      </c>
      <c r="C41" s="120">
        <f>Datos!C10*1000000</f>
        <v>14000000000</v>
      </c>
      <c r="D41" s="112">
        <f>C41</f>
        <v>14000000000</v>
      </c>
      <c r="E41" s="112">
        <f t="shared" ref="E41:M41" si="15">D41</f>
        <v>14000000000</v>
      </c>
      <c r="F41" s="112">
        <f t="shared" si="15"/>
        <v>14000000000</v>
      </c>
      <c r="G41" s="112">
        <f t="shared" si="15"/>
        <v>14000000000</v>
      </c>
      <c r="H41" s="112">
        <f t="shared" si="15"/>
        <v>14000000000</v>
      </c>
      <c r="I41" s="112">
        <f t="shared" si="15"/>
        <v>14000000000</v>
      </c>
      <c r="J41" s="112">
        <f t="shared" si="15"/>
        <v>14000000000</v>
      </c>
      <c r="K41" s="112">
        <f t="shared" si="15"/>
        <v>14000000000</v>
      </c>
      <c r="L41" s="112">
        <f t="shared" si="15"/>
        <v>14000000000</v>
      </c>
      <c r="M41" s="112">
        <f t="shared" si="15"/>
        <v>14000000000</v>
      </c>
    </row>
    <row r="42" spans="1:16" ht="13" x14ac:dyDescent="0.15">
      <c r="A42" s="110"/>
      <c r="B42" s="122" t="s">
        <v>330</v>
      </c>
      <c r="D42" s="112">
        <f t="shared" ref="D42:M42" si="16">D22</f>
        <v>799800000</v>
      </c>
      <c r="E42" s="112">
        <f t="shared" si="16"/>
        <v>799800000</v>
      </c>
      <c r="F42" s="112">
        <f t="shared" si="16"/>
        <v>799800000</v>
      </c>
      <c r="G42" s="112">
        <f t="shared" si="16"/>
        <v>799800000</v>
      </c>
      <c r="H42" s="112">
        <f t="shared" si="16"/>
        <v>799800000</v>
      </c>
      <c r="I42" s="112">
        <f t="shared" si="16"/>
        <v>799800000</v>
      </c>
      <c r="J42" s="112">
        <f t="shared" si="16"/>
        <v>799800000</v>
      </c>
      <c r="K42" s="112">
        <f t="shared" si="16"/>
        <v>799800000</v>
      </c>
      <c r="L42" s="112">
        <f t="shared" si="16"/>
        <v>799800000</v>
      </c>
      <c r="M42" s="112">
        <f t="shared" si="16"/>
        <v>799800000</v>
      </c>
      <c r="O42" s="108" t="s">
        <v>331</v>
      </c>
      <c r="P42" s="117">
        <f>Datos!$C$10*1000000*P38</f>
        <v>4200000000</v>
      </c>
    </row>
    <row r="43" spans="1:16" ht="13" x14ac:dyDescent="0.15">
      <c r="A43" s="110"/>
      <c r="B43" s="124" t="s">
        <v>332</v>
      </c>
      <c r="C43" s="107"/>
      <c r="D43" s="120">
        <f>D41-D42</f>
        <v>13200200000</v>
      </c>
      <c r="E43" s="120">
        <f>D43-E42</f>
        <v>12400400000</v>
      </c>
      <c r="F43" s="120">
        <f t="shared" ref="F43:M43" si="17">E43-F42</f>
        <v>11600600000</v>
      </c>
      <c r="G43" s="120">
        <f t="shared" si="17"/>
        <v>10800800000</v>
      </c>
      <c r="H43" s="120">
        <f t="shared" si="17"/>
        <v>10001000000</v>
      </c>
      <c r="I43" s="120">
        <f t="shared" si="17"/>
        <v>9201200000</v>
      </c>
      <c r="J43" s="120">
        <f t="shared" si="17"/>
        <v>8401400000</v>
      </c>
      <c r="K43" s="120">
        <f t="shared" si="17"/>
        <v>7601600000</v>
      </c>
      <c r="L43" s="120">
        <f t="shared" si="17"/>
        <v>6801800000</v>
      </c>
      <c r="M43" s="120">
        <f t="shared" si="17"/>
        <v>6002000000</v>
      </c>
      <c r="N43" s="112"/>
      <c r="O43" s="108" t="s">
        <v>333</v>
      </c>
      <c r="P43" s="115">
        <f>M43</f>
        <v>6002000000</v>
      </c>
    </row>
    <row r="44" spans="1:16" x14ac:dyDescent="0.15">
      <c r="A44" s="110"/>
      <c r="B44" s="124"/>
      <c r="C44" s="107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O44" s="108" t="s">
        <v>318</v>
      </c>
      <c r="P44" s="117">
        <f>P42-P43</f>
        <v>-1802000000</v>
      </c>
    </row>
    <row r="45" spans="1:16" ht="13" x14ac:dyDescent="0.15">
      <c r="A45" s="110"/>
      <c r="B45" s="124" t="s">
        <v>334</v>
      </c>
      <c r="C45" s="107"/>
      <c r="D45" s="120">
        <f>D43+D38</f>
        <v>12983711919.161362</v>
      </c>
      <c r="E45" s="120">
        <f>E43+E38</f>
        <v>8689836851.885622</v>
      </c>
      <c r="F45" s="120">
        <f t="shared" ref="F45:L45" si="18">F43+F38</f>
        <v>7267932846.9889479</v>
      </c>
      <c r="G45" s="120">
        <f t="shared" si="18"/>
        <v>5771260839.9210186</v>
      </c>
      <c r="H45" s="120">
        <f t="shared" si="18"/>
        <v>4190599251.6493359</v>
      </c>
      <c r="I45" s="120">
        <f t="shared" si="18"/>
        <v>2517231919.8119793</v>
      </c>
      <c r="J45" s="120">
        <f t="shared" si="18"/>
        <v>752405676.05221653</v>
      </c>
      <c r="K45" s="120">
        <f t="shared" si="18"/>
        <v>-1133644672.6315422</v>
      </c>
      <c r="L45" s="120">
        <f t="shared" si="18"/>
        <v>-3165064701.3037872</v>
      </c>
      <c r="M45" s="120">
        <f>M43+M38</f>
        <v>-5354807897.8310852</v>
      </c>
      <c r="O45" s="108" t="s">
        <v>335</v>
      </c>
      <c r="P45" s="108">
        <f>IF(P44&lt;0,0,P44*P40)</f>
        <v>0</v>
      </c>
    </row>
    <row r="46" spans="1:16" x14ac:dyDescent="0.15">
      <c r="B46" s="124"/>
      <c r="D46" s="115"/>
      <c r="E46" s="115"/>
      <c r="F46" s="115"/>
      <c r="G46" s="115"/>
      <c r="H46" s="115"/>
      <c r="I46" s="115"/>
      <c r="J46" s="115"/>
      <c r="K46" s="115"/>
      <c r="L46" s="115"/>
      <c r="M46" s="115"/>
    </row>
    <row r="47" spans="1:16" x14ac:dyDescent="0.15">
      <c r="O47" s="108" t="s">
        <v>336</v>
      </c>
      <c r="P47" s="117">
        <f>P42-P45</f>
        <v>4200000000</v>
      </c>
    </row>
    <row r="48" spans="1:16" ht="13" x14ac:dyDescent="0.15">
      <c r="B48" s="131" t="s">
        <v>337</v>
      </c>
      <c r="C48" s="133" t="s">
        <v>299</v>
      </c>
      <c r="D48" s="133" t="s">
        <v>85</v>
      </c>
      <c r="E48" s="133" t="s">
        <v>86</v>
      </c>
      <c r="F48" s="133" t="s">
        <v>87</v>
      </c>
      <c r="G48" s="133" t="s">
        <v>88</v>
      </c>
      <c r="H48" s="133" t="s">
        <v>89</v>
      </c>
      <c r="I48" s="133" t="s">
        <v>90</v>
      </c>
      <c r="J48" s="133" t="s">
        <v>91</v>
      </c>
      <c r="K48" s="133" t="s">
        <v>92</v>
      </c>
      <c r="L48" s="133" t="s">
        <v>93</v>
      </c>
      <c r="M48" s="133" t="s">
        <v>94</v>
      </c>
      <c r="N48" s="133" t="s">
        <v>305</v>
      </c>
      <c r="O48" s="108" t="s">
        <v>338</v>
      </c>
      <c r="P48" s="117">
        <f>Datos!$C$10*'Estado de resultados'!P39*1000000</f>
        <v>1470000000</v>
      </c>
    </row>
    <row r="49" spans="2:16" ht="13" x14ac:dyDescent="0.15">
      <c r="B49" s="122" t="s">
        <v>314</v>
      </c>
      <c r="C49" s="112"/>
      <c r="D49" s="112">
        <f>D26</f>
        <v>1313450000</v>
      </c>
      <c r="E49" s="112">
        <f t="shared" ref="E49:M49" si="19">E26</f>
        <v>13283005800</v>
      </c>
      <c r="F49" s="112">
        <f t="shared" si="19"/>
        <v>15639436884.504004</v>
      </c>
      <c r="G49" s="112">
        <f t="shared" si="19"/>
        <v>18302934044.070896</v>
      </c>
      <c r="H49" s="112">
        <f t="shared" si="19"/>
        <v>21311823373.128967</v>
      </c>
      <c r="I49" s="112">
        <f t="shared" si="19"/>
        <v>24703326769.407661</v>
      </c>
      <c r="J49" s="112">
        <f t="shared" si="19"/>
        <v>28478557060.639275</v>
      </c>
      <c r="K49" s="112">
        <f t="shared" si="19"/>
        <v>32752901489.819916</v>
      </c>
      <c r="L49" s="112">
        <f t="shared" si="19"/>
        <v>37623846557.836823</v>
      </c>
      <c r="M49" s="112">
        <f t="shared" si="19"/>
        <v>43139978486.000443</v>
      </c>
      <c r="O49" s="108" t="s">
        <v>339</v>
      </c>
      <c r="P49" s="117">
        <f>P47-P48</f>
        <v>2730000000</v>
      </c>
    </row>
    <row r="50" spans="2:16" ht="13" x14ac:dyDescent="0.15">
      <c r="B50" s="122" t="s">
        <v>340</v>
      </c>
      <c r="C50" s="112"/>
      <c r="D50" s="112">
        <f t="shared" ref="D50:M50" si="20">IF(D49&lt;0,0,D49*D5)</f>
        <v>459707500</v>
      </c>
      <c r="E50" s="112">
        <f t="shared" si="20"/>
        <v>4649052030</v>
      </c>
      <c r="F50" s="112">
        <f t="shared" si="20"/>
        <v>5473802909.5764008</v>
      </c>
      <c r="G50" s="112">
        <f t="shared" si="20"/>
        <v>6406026915.4248133</v>
      </c>
      <c r="H50" s="112">
        <f t="shared" si="20"/>
        <v>7459138180.5951385</v>
      </c>
      <c r="I50" s="112">
        <f t="shared" si="20"/>
        <v>8646164369.2926807</v>
      </c>
      <c r="J50" s="112">
        <f t="shared" si="20"/>
        <v>9967494971.2237453</v>
      </c>
      <c r="K50" s="112">
        <f t="shared" si="20"/>
        <v>11463515521.43697</v>
      </c>
      <c r="L50" s="112">
        <f t="shared" si="20"/>
        <v>13168346295.242887</v>
      </c>
      <c r="M50" s="112">
        <f t="shared" si="20"/>
        <v>15098992470.100153</v>
      </c>
    </row>
    <row r="51" spans="2:16" s="107" customFormat="1" ht="13" x14ac:dyDescent="0.15">
      <c r="B51" s="124" t="s">
        <v>341</v>
      </c>
      <c r="C51" s="120"/>
      <c r="D51" s="120">
        <f>D49-D50</f>
        <v>853742500</v>
      </c>
      <c r="E51" s="120">
        <f t="shared" ref="E51:M51" si="21">E49-E50</f>
        <v>8633953770</v>
      </c>
      <c r="F51" s="120">
        <f t="shared" si="21"/>
        <v>10165633974.927603</v>
      </c>
      <c r="G51" s="120">
        <f t="shared" si="21"/>
        <v>11896907128.646084</v>
      </c>
      <c r="H51" s="120">
        <f t="shared" si="21"/>
        <v>13852685192.533829</v>
      </c>
      <c r="I51" s="120">
        <f t="shared" si="21"/>
        <v>16057162400.114981</v>
      </c>
      <c r="J51" s="120">
        <f t="shared" si="21"/>
        <v>18511062089.415527</v>
      </c>
      <c r="K51" s="120">
        <f t="shared" si="21"/>
        <v>21289385968.382946</v>
      </c>
      <c r="L51" s="120">
        <f t="shared" si="21"/>
        <v>24455500262.593933</v>
      </c>
      <c r="M51" s="120">
        <f t="shared" si="21"/>
        <v>28040986015.900291</v>
      </c>
    </row>
    <row r="52" spans="2:16" ht="13" x14ac:dyDescent="0.15">
      <c r="B52" s="122" t="s">
        <v>342</v>
      </c>
      <c r="C52" s="112"/>
      <c r="D52" s="112" cm="1">
        <f t="array" ref="D52:M52">_xlfn.ANCHORARRAY(D22)</f>
        <v>799800000</v>
      </c>
      <c r="E52" s="112">
        <v>799800000</v>
      </c>
      <c r="F52" s="112">
        <v>799800000</v>
      </c>
      <c r="G52" s="112">
        <v>799800000</v>
      </c>
      <c r="H52" s="112">
        <v>799800000</v>
      </c>
      <c r="I52" s="112">
        <v>799800000</v>
      </c>
      <c r="J52" s="112">
        <v>799800000</v>
      </c>
      <c r="K52" s="112">
        <v>799800000</v>
      </c>
      <c r="L52" s="112">
        <v>799800000</v>
      </c>
      <c r="M52" s="112">
        <v>799800000</v>
      </c>
    </row>
    <row r="53" spans="2:16" ht="13" x14ac:dyDescent="0.15">
      <c r="B53" s="122" t="s">
        <v>343</v>
      </c>
      <c r="C53" s="112"/>
      <c r="D53" s="112" cm="1">
        <f t="array" ref="D53">_xlfn.ANCHORARRAY(D23)</f>
        <v>0</v>
      </c>
      <c r="E53" s="112"/>
      <c r="F53" s="112"/>
      <c r="G53" s="112"/>
      <c r="H53" s="112"/>
      <c r="I53" s="112"/>
      <c r="J53" s="112"/>
      <c r="K53" s="112"/>
      <c r="L53" s="112"/>
      <c r="M53" s="112"/>
    </row>
    <row r="54" spans="2:16" s="107" customFormat="1" ht="13" x14ac:dyDescent="0.15">
      <c r="B54" s="124" t="s">
        <v>344</v>
      </c>
      <c r="C54" s="120"/>
      <c r="D54" s="120">
        <f t="shared" ref="D54:M54" si="22">D51+D52+D53</f>
        <v>1653542500</v>
      </c>
      <c r="E54" s="120">
        <f t="shared" si="22"/>
        <v>9433753770</v>
      </c>
      <c r="F54" s="120">
        <f t="shared" si="22"/>
        <v>10965433974.927603</v>
      </c>
      <c r="G54" s="120">
        <f t="shared" si="22"/>
        <v>12696707128.646084</v>
      </c>
      <c r="H54" s="120">
        <f t="shared" si="22"/>
        <v>14652485192.533829</v>
      </c>
      <c r="I54" s="120">
        <f t="shared" si="22"/>
        <v>16856962400.114981</v>
      </c>
      <c r="J54" s="120">
        <f t="shared" si="22"/>
        <v>19310862089.415527</v>
      </c>
      <c r="K54" s="120">
        <f t="shared" si="22"/>
        <v>22089185968.382946</v>
      </c>
      <c r="L54" s="120">
        <f t="shared" si="22"/>
        <v>25255300262.593933</v>
      </c>
      <c r="M54" s="120">
        <f t="shared" si="22"/>
        <v>28840786015.900291</v>
      </c>
    </row>
    <row r="55" spans="2:16" x14ac:dyDescent="0.15">
      <c r="B55" s="124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</row>
    <row r="56" spans="2:16" x14ac:dyDescent="0.15">
      <c r="B56" s="124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</row>
    <row r="57" spans="2:16" ht="13" x14ac:dyDescent="0.15">
      <c r="B57" s="131" t="s">
        <v>337</v>
      </c>
      <c r="C57" s="133" t="s">
        <v>299</v>
      </c>
      <c r="D57" s="133" t="s">
        <v>85</v>
      </c>
      <c r="E57" s="133" t="s">
        <v>86</v>
      </c>
      <c r="F57" s="133" t="s">
        <v>87</v>
      </c>
      <c r="G57" s="133" t="s">
        <v>88</v>
      </c>
      <c r="H57" s="133" t="s">
        <v>89</v>
      </c>
      <c r="I57" s="133" t="s">
        <v>90</v>
      </c>
      <c r="J57" s="133" t="s">
        <v>91</v>
      </c>
      <c r="K57" s="133" t="s">
        <v>92</v>
      </c>
      <c r="L57" s="133" t="s">
        <v>93</v>
      </c>
      <c r="M57" s="133" t="s">
        <v>94</v>
      </c>
      <c r="N57" s="133" t="s">
        <v>305</v>
      </c>
    </row>
    <row r="58" spans="2:16" ht="13" x14ac:dyDescent="0.15">
      <c r="B58" s="122" t="s">
        <v>319</v>
      </c>
      <c r="C58" s="107"/>
      <c r="D58" s="137">
        <f t="shared" ref="D58:M58" si="23">D32</f>
        <v>2113250000</v>
      </c>
      <c r="E58" s="137">
        <f t="shared" si="23"/>
        <v>14082805800</v>
      </c>
      <c r="F58" s="137">
        <f t="shared" si="23"/>
        <v>16439236884.504004</v>
      </c>
      <c r="G58" s="137">
        <f t="shared" si="23"/>
        <v>19102734044.070896</v>
      </c>
      <c r="H58" s="137">
        <f t="shared" si="23"/>
        <v>22111623373.128967</v>
      </c>
      <c r="I58" s="137">
        <f t="shared" si="23"/>
        <v>25503126769.407661</v>
      </c>
      <c r="J58" s="137">
        <f t="shared" si="23"/>
        <v>29278357060.639275</v>
      </c>
      <c r="K58" s="137">
        <f t="shared" si="23"/>
        <v>33552701489.819916</v>
      </c>
      <c r="L58" s="137">
        <f t="shared" si="23"/>
        <v>38423646557.836823</v>
      </c>
      <c r="M58" s="137">
        <f t="shared" si="23"/>
        <v>43939778486.000443</v>
      </c>
      <c r="N58" s="107"/>
    </row>
    <row r="59" spans="2:16" ht="13" x14ac:dyDescent="0.15">
      <c r="B59" s="122" t="s">
        <v>340</v>
      </c>
      <c r="C59" s="107"/>
      <c r="D59" s="137">
        <f t="shared" ref="D59:M59" si="24">D50</f>
        <v>459707500</v>
      </c>
      <c r="E59" s="137">
        <f t="shared" si="24"/>
        <v>4649052030</v>
      </c>
      <c r="F59" s="137">
        <f t="shared" si="24"/>
        <v>5473802909.5764008</v>
      </c>
      <c r="G59" s="137">
        <f t="shared" si="24"/>
        <v>6406026915.4248133</v>
      </c>
      <c r="H59" s="137">
        <f t="shared" si="24"/>
        <v>7459138180.5951385</v>
      </c>
      <c r="I59" s="137">
        <f t="shared" si="24"/>
        <v>8646164369.2926807</v>
      </c>
      <c r="J59" s="137">
        <f t="shared" si="24"/>
        <v>9967494971.2237453</v>
      </c>
      <c r="K59" s="137">
        <f t="shared" si="24"/>
        <v>11463515521.43697</v>
      </c>
      <c r="L59" s="137">
        <f t="shared" si="24"/>
        <v>13168346295.242887</v>
      </c>
      <c r="M59" s="137">
        <f t="shared" si="24"/>
        <v>15098992470.100153</v>
      </c>
      <c r="N59" s="107"/>
    </row>
    <row r="60" spans="2:16" s="107" customFormat="1" ht="13" x14ac:dyDescent="0.15">
      <c r="B60" s="124" t="s">
        <v>344</v>
      </c>
      <c r="D60" s="138">
        <f>D58-D59</f>
        <v>1653542500</v>
      </c>
      <c r="E60" s="138">
        <f t="shared" ref="E60:M60" si="25">E58-E59</f>
        <v>9433753770</v>
      </c>
      <c r="F60" s="138">
        <f t="shared" si="25"/>
        <v>10965433974.927603</v>
      </c>
      <c r="G60" s="138">
        <f t="shared" si="25"/>
        <v>12696707128.646084</v>
      </c>
      <c r="H60" s="138">
        <f t="shared" si="25"/>
        <v>14652485192.533829</v>
      </c>
      <c r="I60" s="138">
        <f t="shared" si="25"/>
        <v>16856962400.114981</v>
      </c>
      <c r="J60" s="138">
        <f t="shared" si="25"/>
        <v>19310862089.415527</v>
      </c>
      <c r="K60" s="138">
        <f t="shared" si="25"/>
        <v>22089185968.382946</v>
      </c>
      <c r="L60" s="138">
        <f t="shared" si="25"/>
        <v>25255300262.593933</v>
      </c>
      <c r="M60" s="138">
        <f t="shared" si="25"/>
        <v>28840786015.900291</v>
      </c>
    </row>
    <row r="61" spans="2:16" ht="13" x14ac:dyDescent="0.15">
      <c r="B61" s="122" t="s">
        <v>345</v>
      </c>
      <c r="C61" s="112"/>
      <c r="D61" s="112">
        <f t="shared" ref="D61:M61" si="26">-D39</f>
        <v>216488080.83863842</v>
      </c>
      <c r="E61" s="112">
        <f t="shared" si="26"/>
        <v>3494075067.2757397</v>
      </c>
      <c r="F61" s="112">
        <f t="shared" si="26"/>
        <v>622104004.89667416</v>
      </c>
      <c r="G61" s="112">
        <f t="shared" si="26"/>
        <v>696872007.06792927</v>
      </c>
      <c r="H61" s="112">
        <f t="shared" si="26"/>
        <v>780861588.27168274</v>
      </c>
      <c r="I61" s="112">
        <f t="shared" si="26"/>
        <v>873567331.83735657</v>
      </c>
      <c r="J61" s="112">
        <f t="shared" si="26"/>
        <v>965026243.75976276</v>
      </c>
      <c r="K61" s="112">
        <f t="shared" si="26"/>
        <v>1086250348.6837587</v>
      </c>
      <c r="L61" s="112">
        <f t="shared" si="26"/>
        <v>1231620028.672245</v>
      </c>
      <c r="M61" s="112">
        <f t="shared" si="26"/>
        <v>1389943196.527298</v>
      </c>
    </row>
    <row r="62" spans="2:16" s="107" customFormat="1" ht="13" x14ac:dyDescent="0.15">
      <c r="B62" s="124" t="s">
        <v>346</v>
      </c>
      <c r="C62" s="120"/>
      <c r="D62" s="120">
        <f>D60+D61</f>
        <v>1870030580.8386383</v>
      </c>
      <c r="E62" s="120">
        <f>E54+E61</f>
        <v>12927828837.27574</v>
      </c>
      <c r="F62" s="120">
        <f>F54+F61</f>
        <v>11587537979.824276</v>
      </c>
      <c r="G62" s="120">
        <f>G54+G61</f>
        <v>13393579135.714012</v>
      </c>
      <c r="H62" s="120">
        <f t="shared" ref="H62:M62" si="27">H54+H61</f>
        <v>15433346780.805511</v>
      </c>
      <c r="I62" s="120">
        <f t="shared" si="27"/>
        <v>17730529731.952339</v>
      </c>
      <c r="J62" s="120">
        <f t="shared" si="27"/>
        <v>20275888333.175289</v>
      </c>
      <c r="K62" s="120">
        <f t="shared" si="27"/>
        <v>23175436317.066704</v>
      </c>
      <c r="L62" s="120">
        <f t="shared" si="27"/>
        <v>26486920291.266178</v>
      </c>
      <c r="M62" s="120">
        <f t="shared" si="27"/>
        <v>30230729212.427589</v>
      </c>
    </row>
    <row r="63" spans="2:16" ht="13" x14ac:dyDescent="0.15">
      <c r="B63" s="122" t="s">
        <v>347</v>
      </c>
      <c r="C63" s="112">
        <f>-Datos!C10*1000000</f>
        <v>-14000000000</v>
      </c>
      <c r="D63" s="112">
        <v>0</v>
      </c>
      <c r="E63" s="112">
        <v>0</v>
      </c>
      <c r="F63" s="112">
        <v>0</v>
      </c>
      <c r="G63" s="112">
        <v>0</v>
      </c>
      <c r="H63" s="112">
        <f>-Datos!$C$10*Datos!$C$24*1000000</f>
        <v>-9800000000</v>
      </c>
      <c r="I63" s="112">
        <v>0</v>
      </c>
      <c r="J63" s="112">
        <v>0</v>
      </c>
      <c r="K63" s="112">
        <v>0</v>
      </c>
      <c r="L63" s="112">
        <v>0</v>
      </c>
      <c r="M63" s="112">
        <v>0</v>
      </c>
    </row>
    <row r="64" spans="2:16" s="107" customFormat="1" ht="13" x14ac:dyDescent="0.15">
      <c r="B64" s="124" t="s">
        <v>348</v>
      </c>
      <c r="C64" s="120">
        <f>C62+C63</f>
        <v>-14000000000</v>
      </c>
      <c r="D64" s="120">
        <f>D62+D63</f>
        <v>1870030580.8386383</v>
      </c>
      <c r="E64" s="120">
        <f t="shared" ref="E64:L64" si="28">E62+E63</f>
        <v>12927828837.27574</v>
      </c>
      <c r="F64" s="120">
        <f>F62+F63</f>
        <v>11587537979.824276</v>
      </c>
      <c r="G64" s="120">
        <f>G62+G63</f>
        <v>13393579135.714012</v>
      </c>
      <c r="H64" s="120">
        <f>H62+H63</f>
        <v>5633346780.8055115</v>
      </c>
      <c r="I64" s="120">
        <f t="shared" si="28"/>
        <v>17730529731.952339</v>
      </c>
      <c r="J64" s="120">
        <f t="shared" si="28"/>
        <v>20275888333.175289</v>
      </c>
      <c r="K64" s="120">
        <f t="shared" si="28"/>
        <v>23175436317.066704</v>
      </c>
      <c r="L64" s="120">
        <f t="shared" si="28"/>
        <v>26486920291.266178</v>
      </c>
      <c r="M64" s="120">
        <f>M62+M63</f>
        <v>30230729212.427589</v>
      </c>
      <c r="N64" s="121">
        <f>P49</f>
        <v>2730000000</v>
      </c>
    </row>
    <row r="65" spans="2:14" ht="13" x14ac:dyDescent="0.15">
      <c r="B65" s="124" t="s">
        <v>99</v>
      </c>
      <c r="C65" s="112"/>
      <c r="D65" s="139">
        <f>1/(1+WACC!$B$18)^'Estado de resultados'!D2</f>
        <v>0.83064215415478371</v>
      </c>
      <c r="E65" s="139">
        <f>1/(1+WACC!$B$18)^'Estado de resultados'!E2</f>
        <v>0.68996638825889933</v>
      </c>
      <c r="F65" s="139">
        <f>1/(1+WACC!$B$18)^'Estado de resultados'!F2</f>
        <v>0.57311516703776799</v>
      </c>
      <c r="G65" s="139">
        <f>1/(1+WACC!$B$18)^'Estado de resultados'!G2</f>
        <v>0.47605361692703024</v>
      </c>
      <c r="H65" s="139">
        <f>1/(1+WACC!$B$18)^'Estado de resultados'!H2</f>
        <v>0.3954302018574446</v>
      </c>
      <c r="I65" s="139">
        <f>1/(1+WACC!$B$18)^'Estado de resultados'!I2</f>
        <v>0.32846099468872869</v>
      </c>
      <c r="J65" s="139">
        <f>1/(1+WACC!$B$18)^'Estado de resultados'!J2</f>
        <v>0.27283354818406858</v>
      </c>
      <c r="K65" s="139">
        <f>1/(1+WACC!$B$18)^'Estado de resultados'!K2</f>
        <v>0.22662704618930768</v>
      </c>
      <c r="L65" s="139">
        <f>1/(1+WACC!$B$18)^'Estado de resultados'!L2</f>
        <v>0.18824597783642219</v>
      </c>
      <c r="M65" s="139">
        <f>1/(1+WACC!$B$18)^'Estado de resultados'!M2</f>
        <v>0.15636504454101938</v>
      </c>
      <c r="N65" s="139">
        <f>1/(1+WACC!$B$18)^11</f>
        <v>0.12988339743206104</v>
      </c>
    </row>
    <row r="66" spans="2:14" ht="13" x14ac:dyDescent="0.15">
      <c r="B66" s="122" t="s">
        <v>372</v>
      </c>
      <c r="C66" s="137">
        <f>C64</f>
        <v>-14000000000</v>
      </c>
      <c r="D66" s="112">
        <f t="shared" ref="D66:N66" si="29">D64*D65</f>
        <v>1553326230.0031278</v>
      </c>
      <c r="E66" s="112">
        <f t="shared" si="29"/>
        <v>8919767370.884388</v>
      </c>
      <c r="F66" s="112">
        <f t="shared" si="29"/>
        <v>6640993764.863471</v>
      </c>
      <c r="G66" s="112">
        <f t="shared" si="29"/>
        <v>6376061791.1550627</v>
      </c>
      <c r="H66" s="112">
        <f t="shared" si="29"/>
        <v>2227595454.6669092</v>
      </c>
      <c r="I66" s="112">
        <f t="shared" si="29"/>
        <v>5823787432.1151438</v>
      </c>
      <c r="J66" s="112">
        <f t="shared" si="29"/>
        <v>5531942556.5241737</v>
      </c>
      <c r="K66" s="112">
        <f t="shared" si="29"/>
        <v>5252180676.6852341</v>
      </c>
      <c r="L66" s="112">
        <f t="shared" si="29"/>
        <v>4986056210.1047745</v>
      </c>
      <c r="M66" s="112">
        <f t="shared" si="29"/>
        <v>4727029319.8087358</v>
      </c>
      <c r="N66" s="112">
        <f t="shared" si="29"/>
        <v>354581674.98952663</v>
      </c>
    </row>
    <row r="67" spans="2:14" ht="13" x14ac:dyDescent="0.15">
      <c r="B67" s="122" t="s">
        <v>374</v>
      </c>
      <c r="C67" s="137"/>
      <c r="D67" s="112">
        <f>D91</f>
        <v>8400000000</v>
      </c>
      <c r="E67" s="112">
        <f>E91-D91</f>
        <v>-840000000</v>
      </c>
      <c r="F67" s="112">
        <f t="shared" ref="F67:M67" si="30">F91-E91</f>
        <v>-840000000</v>
      </c>
      <c r="G67" s="112">
        <f t="shared" si="30"/>
        <v>-840000000</v>
      </c>
      <c r="H67" s="112">
        <f t="shared" si="30"/>
        <v>-840000000</v>
      </c>
      <c r="I67" s="112">
        <f t="shared" si="30"/>
        <v>-840000000</v>
      </c>
      <c r="J67" s="112">
        <f t="shared" si="30"/>
        <v>-840000000</v>
      </c>
      <c r="K67" s="112">
        <f t="shared" si="30"/>
        <v>-840000000</v>
      </c>
      <c r="L67" s="112">
        <f t="shared" si="30"/>
        <v>-840000000</v>
      </c>
      <c r="M67" s="112">
        <f t="shared" si="30"/>
        <v>-1680000000</v>
      </c>
      <c r="N67" s="112"/>
    </row>
    <row r="68" spans="2:14" ht="13" x14ac:dyDescent="0.15">
      <c r="B68" s="156" t="s">
        <v>375</v>
      </c>
      <c r="C68" s="137"/>
      <c r="D68" s="112">
        <f>D64+D67-D27*(1-D5)</f>
        <v>10212980230.967539</v>
      </c>
      <c r="E68" s="112">
        <f t="shared" ref="E68:M68" si="31">E64+E67-E27*(1-E5)</f>
        <v>11978006913.773872</v>
      </c>
      <c r="F68" s="112">
        <f t="shared" si="31"/>
        <v>10649126126.296629</v>
      </c>
      <c r="G68" s="112">
        <f t="shared" si="31"/>
        <v>12466577352.160585</v>
      </c>
      <c r="H68" s="112">
        <f t="shared" si="31"/>
        <v>4717755067.2263041</v>
      </c>
      <c r="I68" s="112">
        <f t="shared" si="31"/>
        <v>16826348088.347351</v>
      </c>
      <c r="J68" s="112">
        <f t="shared" si="31"/>
        <v>19383116759.544521</v>
      </c>
      <c r="K68" s="112">
        <f t="shared" si="31"/>
        <v>22294074813.410156</v>
      </c>
      <c r="L68" s="112">
        <f t="shared" si="31"/>
        <v>25616968857.583851</v>
      </c>
      <c r="M68" s="112">
        <f t="shared" si="31"/>
        <v>28536466624.959816</v>
      </c>
      <c r="N68" s="112"/>
    </row>
    <row r="69" spans="2:14" x14ac:dyDescent="0.15">
      <c r="C69" s="137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2"/>
    </row>
    <row r="70" spans="2:14" x14ac:dyDescent="0.15">
      <c r="C70" s="137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</row>
    <row r="71" spans="2:14" ht="13" x14ac:dyDescent="0.15">
      <c r="B71" s="140" t="s">
        <v>349</v>
      </c>
      <c r="C71" s="141">
        <f>NPV(WACC!B18,'Estado de resultados'!D64:N64)+'Estado de resultados'!C64</f>
        <v>38393322481.800545</v>
      </c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7"/>
    </row>
    <row r="72" spans="2:14" ht="13" x14ac:dyDescent="0.15">
      <c r="B72" s="142" t="s">
        <v>350</v>
      </c>
      <c r="C72" s="143">
        <f>MIRR(C64:N64,WACC!B18,WACC!B18)</f>
        <v>0.35734543802520369</v>
      </c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7"/>
    </row>
    <row r="73" spans="2:14" s="107" customFormat="1" ht="13" x14ac:dyDescent="0.15">
      <c r="B73" s="142" t="s">
        <v>351</v>
      </c>
      <c r="C73" s="155">
        <f>2+ABS(SUM(C66:E66))/F66</f>
        <v>2.5310811188790496</v>
      </c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1"/>
    </row>
    <row r="74" spans="2:14" ht="13" x14ac:dyDescent="0.15">
      <c r="B74" s="145" t="s">
        <v>352</v>
      </c>
      <c r="C74" s="146"/>
    </row>
    <row r="75" spans="2:14" s="107" customFormat="1" ht="13" x14ac:dyDescent="0.15">
      <c r="B75" s="145" t="s">
        <v>353</v>
      </c>
      <c r="C75" s="146"/>
    </row>
    <row r="76" spans="2:14" s="107" customFormat="1" ht="13" x14ac:dyDescent="0.15">
      <c r="B76" s="147" t="s">
        <v>354</v>
      </c>
      <c r="C76" s="148">
        <f>ABS(SUM(D66:N66)/C64)</f>
        <v>3.742380177271468</v>
      </c>
      <c r="D76" s="120"/>
      <c r="E76" s="120"/>
      <c r="F76" s="120"/>
      <c r="G76" s="120"/>
      <c r="H76" s="120"/>
      <c r="I76" s="120"/>
      <c r="J76" s="120"/>
      <c r="K76" s="120"/>
      <c r="L76" s="120"/>
      <c r="M76" s="120"/>
    </row>
    <row r="79" spans="2:14" ht="13" x14ac:dyDescent="0.15">
      <c r="B79" s="122" t="s">
        <v>355</v>
      </c>
      <c r="D79" s="116">
        <f t="shared" ref="D79:M79" si="32">D51/D45</f>
        <v>6.5754886223256911E-2</v>
      </c>
      <c r="E79" s="116">
        <f t="shared" si="32"/>
        <v>0.9935691448714028</v>
      </c>
      <c r="F79" s="116">
        <f t="shared" si="32"/>
        <v>1.398696739354045</v>
      </c>
      <c r="G79" s="116">
        <f t="shared" si="32"/>
        <v>2.0614052039292154</v>
      </c>
      <c r="H79" s="116">
        <f t="shared" si="32"/>
        <v>3.305657344133226</v>
      </c>
      <c r="I79" s="116">
        <f t="shared" si="32"/>
        <v>6.3788967054391819</v>
      </c>
      <c r="J79" s="116">
        <f t="shared" si="32"/>
        <v>24.60250191963048</v>
      </c>
      <c r="K79" s="116">
        <f t="shared" si="32"/>
        <v>-18.779593361439836</v>
      </c>
      <c r="L79" s="116">
        <f t="shared" si="32"/>
        <v>-7.7266983681312933</v>
      </c>
      <c r="M79" s="116">
        <f t="shared" si="32"/>
        <v>-5.2365998091655221</v>
      </c>
    </row>
    <row r="80" spans="2:14" ht="13" x14ac:dyDescent="0.15">
      <c r="B80" s="122" t="s">
        <v>356</v>
      </c>
      <c r="D80" s="116">
        <f t="shared" ref="D80:M80" si="33">D19/D15</f>
        <v>0.66807692307692312</v>
      </c>
      <c r="E80" s="116">
        <f t="shared" si="33"/>
        <v>0.69942670537010154</v>
      </c>
      <c r="F80" s="116">
        <f t="shared" si="33"/>
        <v>0.70885792918366786</v>
      </c>
      <c r="G80" s="116">
        <f t="shared" si="33"/>
        <v>0.7179239573607743</v>
      </c>
      <c r="H80" s="116">
        <f t="shared" si="33"/>
        <v>0.72663909730646925</v>
      </c>
      <c r="I80" s="116">
        <f t="shared" si="33"/>
        <v>0.7350170867253667</v>
      </c>
      <c r="J80" s="116">
        <f t="shared" si="33"/>
        <v>0.74307111680647608</v>
      </c>
      <c r="K80" s="116">
        <f t="shared" si="33"/>
        <v>0.75081385443765813</v>
      </c>
      <c r="L80" s="116">
        <f t="shared" si="33"/>
        <v>0.75825746349172995</v>
      </c>
      <c r="M80" s="116">
        <f t="shared" si="33"/>
        <v>0.76541362522435141</v>
      </c>
    </row>
    <row r="81" spans="2:13" ht="13" x14ac:dyDescent="0.15">
      <c r="B81" s="122" t="s">
        <v>357</v>
      </c>
      <c r="D81" s="116">
        <f t="shared" ref="D81:M81" si="34">D26/D15</f>
        <v>0.13471282051282052</v>
      </c>
      <c r="E81" s="116">
        <f t="shared" si="34"/>
        <v>0.3642984344197282</v>
      </c>
      <c r="F81" s="116">
        <f t="shared" si="34"/>
        <v>0.37874098969940778</v>
      </c>
      <c r="G81" s="116">
        <f t="shared" si="34"/>
        <v>0.39233796171793872</v>
      </c>
      <c r="H81" s="116">
        <f t="shared" si="34"/>
        <v>0.40516805861328742</v>
      </c>
      <c r="I81" s="116">
        <f t="shared" si="34"/>
        <v>0.4172937695799559</v>
      </c>
      <c r="J81" s="116">
        <f t="shared" si="34"/>
        <v>0.42875353190472371</v>
      </c>
      <c r="K81" s="116">
        <f t="shared" si="34"/>
        <v>0.43962907529593415</v>
      </c>
      <c r="L81" s="116">
        <f t="shared" si="34"/>
        <v>0.4499663374304565</v>
      </c>
      <c r="M81" s="116">
        <f t="shared" si="34"/>
        <v>0.45978944738526339</v>
      </c>
    </row>
    <row r="82" spans="2:13" ht="13" x14ac:dyDescent="0.15">
      <c r="B82" s="122" t="s">
        <v>358</v>
      </c>
      <c r="D82" s="116">
        <f t="shared" ref="D82:M82" si="35">D32/D15</f>
        <v>0.21674358974358973</v>
      </c>
      <c r="E82" s="116">
        <f t="shared" si="35"/>
        <v>0.38623367198838898</v>
      </c>
      <c r="F82" s="116">
        <f t="shared" si="35"/>
        <v>0.39810978448393902</v>
      </c>
      <c r="G82" s="116">
        <f t="shared" si="35"/>
        <v>0.40948231141763392</v>
      </c>
      <c r="H82" s="116">
        <f t="shared" si="35"/>
        <v>0.42037339358652531</v>
      </c>
      <c r="I82" s="116">
        <f t="shared" si="35"/>
        <v>0.43080415868768379</v>
      </c>
      <c r="J82" s="116">
        <f t="shared" si="35"/>
        <v>0.44079476960111491</v>
      </c>
      <c r="K82" s="116">
        <f t="shared" si="35"/>
        <v>0.45036447028165705</v>
      </c>
      <c r="L82" s="116">
        <f t="shared" si="35"/>
        <v>0.45953162938229491</v>
      </c>
      <c r="M82" s="116">
        <f t="shared" si="35"/>
        <v>0.46831378172488458</v>
      </c>
    </row>
    <row r="83" spans="2:13" ht="13" x14ac:dyDescent="0.15">
      <c r="B83" s="122" t="s">
        <v>359</v>
      </c>
      <c r="D83" s="116">
        <f t="shared" ref="D83:M83" si="36">D38/D15</f>
        <v>-2.2203905727039838E-2</v>
      </c>
      <c r="E83" s="116">
        <f t="shared" si="36"/>
        <v>-0.10176554659590724</v>
      </c>
      <c r="F83" s="116">
        <f t="shared" si="36"/>
        <v>-0.10492440729726207</v>
      </c>
      <c r="G83" s="116">
        <f t="shared" si="36"/>
        <v>-0.10781217577982644</v>
      </c>
      <c r="H83" s="116">
        <f t="shared" si="36"/>
        <v>-0.11046397812881238</v>
      </c>
      <c r="I83" s="116">
        <f t="shared" si="36"/>
        <v>-0.11290698868088685</v>
      </c>
      <c r="J83" s="116">
        <f t="shared" si="36"/>
        <v>-0.11515798798825023</v>
      </c>
      <c r="K83" s="116">
        <f t="shared" si="36"/>
        <v>-0.11724968974447506</v>
      </c>
      <c r="L83" s="116">
        <f t="shared" si="36"/>
        <v>-0.11919976333138693</v>
      </c>
      <c r="M83" s="116">
        <f t="shared" si="36"/>
        <v>-0.12104179488867572</v>
      </c>
    </row>
    <row r="85" spans="2:13" ht="13" x14ac:dyDescent="0.15">
      <c r="B85" s="122" t="s">
        <v>360</v>
      </c>
      <c r="D85" s="118">
        <f>D82/D83</f>
        <v>-9.7615073855965875</v>
      </c>
      <c r="E85" s="118">
        <f t="shared" ref="E85:M85" si="37">E82/E83</f>
        <v>-3.7953284280194919</v>
      </c>
      <c r="F85" s="118">
        <f t="shared" si="37"/>
        <v>-3.794253355713999</v>
      </c>
      <c r="G85" s="118">
        <f t="shared" si="37"/>
        <v>-3.7981082234522097</v>
      </c>
      <c r="H85" s="118">
        <f t="shared" si="37"/>
        <v>-3.8055246670215572</v>
      </c>
      <c r="I85" s="118">
        <f t="shared" si="37"/>
        <v>-3.8155668105300493</v>
      </c>
      <c r="J85" s="118">
        <f t="shared" si="37"/>
        <v>-3.827739415229189</v>
      </c>
      <c r="K85" s="118">
        <f t="shared" si="37"/>
        <v>-3.8410717440971203</v>
      </c>
      <c r="L85" s="118">
        <f t="shared" si="37"/>
        <v>-3.8551387732604159</v>
      </c>
      <c r="M85" s="118">
        <f t="shared" si="37"/>
        <v>-3.8690254234547745</v>
      </c>
    </row>
    <row r="86" spans="2:13" ht="13" x14ac:dyDescent="0.15">
      <c r="B86" s="122" t="s">
        <v>361</v>
      </c>
      <c r="D86" s="119">
        <f>(D79-WACC!$B$18)*'Estado de resultados'!D45</f>
        <v>-1793478653.7849333</v>
      </c>
      <c r="E86" s="119">
        <f>(E79-WACC!$B$18)*'Estado de resultados'!E45</f>
        <v>6862201586.9203444</v>
      </c>
      <c r="F86" s="119">
        <f>(F79-WACC!$B$18)*'Estado de resultados'!F45</f>
        <v>8683790747.3030453</v>
      </c>
      <c r="G86" s="119">
        <f>(G79-WACC!$B$18)*'Estado de resultados'!G45</f>
        <v>10720217143.950525</v>
      </c>
      <c r="H86" s="119">
        <f>(H79-WACC!$B$18)*'Estado de resultados'!H45</f>
        <v>12998272906.196072</v>
      </c>
      <c r="I86" s="119">
        <f>(I79-WACC!$B$18)*'Estado de resultados'!I45</f>
        <v>15543929387.198647</v>
      </c>
      <c r="J86" s="119">
        <f>(J79-WACC!$B$18)*'Estado de resultados'!J45</f>
        <v>18357655711.156792</v>
      </c>
      <c r="K86" s="119">
        <f>(K79-WACC!$B$18)*'Estado de resultados'!K45</f>
        <v>21520522347.328396</v>
      </c>
      <c r="L86" s="119">
        <f>(L79-WACC!$B$18)*'Estado de resultados'!L45</f>
        <v>25100818510.761791</v>
      </c>
      <c r="M86" s="119">
        <f>(M79-WACC!$B$18)*'Estado de resultados'!M45</f>
        <v>29132766304.14537</v>
      </c>
    </row>
    <row r="88" spans="2:13" ht="26" x14ac:dyDescent="0.15">
      <c r="B88" s="122" t="s">
        <v>362</v>
      </c>
      <c r="D88" s="118">
        <f t="shared" ref="D88:M88" si="38">D26/D27</f>
        <v>14.96471979451398</v>
      </c>
      <c r="E88" s="118">
        <f t="shared" si="38"/>
        <v>78.617761323886896</v>
      </c>
      <c r="F88" s="118">
        <f t="shared" si="38"/>
        <v>103.29684494837487</v>
      </c>
      <c r="G88" s="118">
        <f t="shared" si="38"/>
        <v>136.743255629239</v>
      </c>
      <c r="H88" s="118">
        <f t="shared" si="38"/>
        <v>183.25666315287984</v>
      </c>
      <c r="I88" s="118">
        <f t="shared" si="38"/>
        <v>250.18309750589123</v>
      </c>
      <c r="J88" s="118">
        <f t="shared" si="38"/>
        <v>350.77714791932891</v>
      </c>
      <c r="K88" s="118">
        <f t="shared" si="38"/>
        <v>514.71499066288914</v>
      </c>
      <c r="L88" s="118">
        <f t="shared" si="38"/>
        <v>816.50516372521986</v>
      </c>
      <c r="M88" s="118">
        <f t="shared" si="38"/>
        <v>1966.0518176842911</v>
      </c>
    </row>
    <row r="89" spans="2:13" ht="13" x14ac:dyDescent="0.15">
      <c r="B89" s="122" t="s">
        <v>363</v>
      </c>
      <c r="D89" s="114" cm="1">
        <f t="array" ref="D89:M89">TRANSPOSE(Bancos!L20:L29)*1000000</f>
        <v>1755395380.6492343</v>
      </c>
      <c r="E89" s="114">
        <v>2529568053.8748879</v>
      </c>
      <c r="F89" s="114">
        <v>2354028515.8099647</v>
      </c>
      <c r="G89" s="114">
        <v>2178488977.7450414</v>
      </c>
      <c r="H89" s="114">
        <v>2002949439.6801176</v>
      </c>
      <c r="I89" s="114">
        <v>1827409901.6151943</v>
      </c>
      <c r="J89" s="114">
        <v>1651870363.5502708</v>
      </c>
      <c r="K89" s="114">
        <v>1476330825.4853475</v>
      </c>
      <c r="L89" s="114">
        <v>1300791287.4204242</v>
      </c>
      <c r="M89" s="114">
        <v>1899424422.5811543</v>
      </c>
    </row>
    <row r="90" spans="2:13" ht="26" x14ac:dyDescent="0.15">
      <c r="B90" s="122" t="s">
        <v>364</v>
      </c>
      <c r="D90" s="118">
        <f t="shared" ref="D90:M90" si="39">D62/D89</f>
        <v>1.0653044900613822</v>
      </c>
      <c r="E90" s="118">
        <f t="shared" si="39"/>
        <v>5.1106863155835649</v>
      </c>
      <c r="F90" s="118">
        <f t="shared" si="39"/>
        <v>4.9224288924288082</v>
      </c>
      <c r="G90" s="118">
        <f t="shared" si="39"/>
        <v>6.1481050730758042</v>
      </c>
      <c r="H90" s="118">
        <f t="shared" si="39"/>
        <v>7.705310216552598</v>
      </c>
      <c r="I90" s="118">
        <f t="shared" si="39"/>
        <v>9.7025466023144791</v>
      </c>
      <c r="J90" s="118">
        <f t="shared" si="39"/>
        <v>12.274503363325364</v>
      </c>
      <c r="K90" s="118">
        <f t="shared" si="39"/>
        <v>15.697996625822482</v>
      </c>
      <c r="L90" s="118">
        <f t="shared" si="39"/>
        <v>20.362159977095107</v>
      </c>
      <c r="M90" s="118">
        <f t="shared" si="39"/>
        <v>15.915731551638485</v>
      </c>
    </row>
    <row r="91" spans="2:13" ht="13" x14ac:dyDescent="0.15">
      <c r="B91" s="122" t="s">
        <v>365</v>
      </c>
      <c r="D91" s="114" cm="1">
        <f t="array" ref="D91:M91">TRANSPOSE(Bancos!M20:M29)*1000000</f>
        <v>8400000000</v>
      </c>
      <c r="E91" s="114">
        <v>7560000000</v>
      </c>
      <c r="F91" s="114">
        <v>6720000000</v>
      </c>
      <c r="G91" s="114">
        <v>5880000000</v>
      </c>
      <c r="H91" s="114">
        <v>5040000000</v>
      </c>
      <c r="I91" s="114">
        <v>4200000000</v>
      </c>
      <c r="J91" s="114">
        <v>3360000000</v>
      </c>
      <c r="K91" s="114">
        <v>2520000000</v>
      </c>
      <c r="L91" s="114">
        <v>1680000000</v>
      </c>
      <c r="M91" s="114">
        <v>0</v>
      </c>
    </row>
    <row r="92" spans="2:13" ht="13" x14ac:dyDescent="0.15">
      <c r="B92" s="122" t="s">
        <v>366</v>
      </c>
      <c r="D92" s="118">
        <f t="shared" ref="D92:M92" si="40">D91/D32</f>
        <v>3.9749201466934818</v>
      </c>
      <c r="E92" s="118">
        <f t="shared" si="40"/>
        <v>0.53682484210639336</v>
      </c>
      <c r="F92" s="118">
        <f t="shared" si="40"/>
        <v>0.40877809883829974</v>
      </c>
      <c r="G92" s="118">
        <f t="shared" si="40"/>
        <v>0.30780934218288158</v>
      </c>
      <c r="H92" s="118">
        <f t="shared" si="40"/>
        <v>0.22793441779244636</v>
      </c>
      <c r="I92" s="118">
        <f t="shared" si="40"/>
        <v>0.16468568885592963</v>
      </c>
      <c r="J92" s="118">
        <f t="shared" si="40"/>
        <v>0.11476053772556309</v>
      </c>
      <c r="K92" s="118">
        <f t="shared" si="40"/>
        <v>7.5105725861286693E-2</v>
      </c>
      <c r="L92" s="118">
        <f t="shared" si="40"/>
        <v>4.3723075514740542E-2</v>
      </c>
      <c r="M92" s="118">
        <f t="shared" si="40"/>
        <v>0</v>
      </c>
    </row>
    <row r="93" spans="2:13" ht="13" x14ac:dyDescent="0.15">
      <c r="B93" s="122" t="s">
        <v>367</v>
      </c>
    </row>
  </sheetData>
  <pageMargins left="0.7" right="0.7" top="0.75" bottom="0.75" header="0.3" footer="0.3"/>
  <ignoredErrors>
    <ignoredError sqref="D29 E29:M29" formula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7884-A09F-4BFE-9EFA-217B3276EA37}">
  <dimension ref="A1:P86"/>
  <sheetViews>
    <sheetView showGridLines="0" topLeftCell="A55" workbookViewId="0">
      <selection activeCell="H7" sqref="H7"/>
    </sheetView>
  </sheetViews>
  <sheetFormatPr baseColWidth="10" defaultColWidth="11" defaultRowHeight="12" x14ac:dyDescent="0.15"/>
  <cols>
    <col min="1" max="1" width="11" style="108"/>
    <col min="2" max="2" width="37.5" style="122" customWidth="1"/>
    <col min="3" max="3" width="19" style="108" bestFit="1" customWidth="1"/>
    <col min="4" max="4" width="21.6640625" style="108" bestFit="1" customWidth="1"/>
    <col min="5" max="10" width="17.6640625" style="108" bestFit="1" customWidth="1"/>
    <col min="11" max="13" width="18.6640625" style="108" bestFit="1" customWidth="1"/>
    <col min="14" max="14" width="26.6640625" style="108" customWidth="1"/>
    <col min="15" max="15" width="34.5" style="108" bestFit="1" customWidth="1"/>
    <col min="16" max="16" width="17.6640625" style="108" bestFit="1" customWidth="1"/>
    <col min="17" max="16384" width="11" style="108"/>
  </cols>
  <sheetData>
    <row r="1" spans="1:14" s="107" customFormat="1" ht="13" x14ac:dyDescent="0.15">
      <c r="B1" s="124" t="s">
        <v>183</v>
      </c>
      <c r="C1" s="125" t="s">
        <v>299</v>
      </c>
      <c r="D1" s="125" t="s">
        <v>85</v>
      </c>
      <c r="E1" s="125" t="s">
        <v>86</v>
      </c>
      <c r="F1" s="125" t="s">
        <v>87</v>
      </c>
      <c r="G1" s="125" t="s">
        <v>88</v>
      </c>
      <c r="H1" s="125" t="s">
        <v>89</v>
      </c>
      <c r="I1" s="125" t="s">
        <v>90</v>
      </c>
      <c r="J1" s="125" t="s">
        <v>91</v>
      </c>
      <c r="K1" s="125" t="s">
        <v>92</v>
      </c>
      <c r="L1" s="125" t="s">
        <v>93</v>
      </c>
      <c r="M1" s="125" t="s">
        <v>94</v>
      </c>
      <c r="N1" s="125"/>
    </row>
    <row r="2" spans="1:14" ht="13" x14ac:dyDescent="0.15">
      <c r="B2" s="122" t="s">
        <v>95</v>
      </c>
      <c r="C2" s="123">
        <v>0</v>
      </c>
      <c r="D2" s="123">
        <v>1</v>
      </c>
      <c r="E2" s="123">
        <v>2</v>
      </c>
      <c r="F2" s="123">
        <v>3</v>
      </c>
      <c r="G2" s="123">
        <v>4</v>
      </c>
      <c r="H2" s="123">
        <v>5</v>
      </c>
      <c r="I2" s="123">
        <v>6</v>
      </c>
      <c r="J2" s="123">
        <v>7</v>
      </c>
      <c r="K2" s="123">
        <v>8</v>
      </c>
      <c r="L2" s="123">
        <v>9</v>
      </c>
      <c r="M2" s="123">
        <v>10</v>
      </c>
      <c r="N2" s="123"/>
    </row>
    <row r="4" spans="1:14" ht="13" x14ac:dyDescent="0.15">
      <c r="B4" s="128" t="s">
        <v>96</v>
      </c>
      <c r="C4" s="129"/>
      <c r="D4" s="109">
        <v>5.8400000000000001E-2</v>
      </c>
      <c r="E4" s="109">
        <v>6.8400000000000002E-2</v>
      </c>
      <c r="F4" s="109">
        <v>6.5799999999999997E-2</v>
      </c>
      <c r="G4" s="109">
        <v>6.3700000000000007E-2</v>
      </c>
      <c r="H4" s="109">
        <v>6.1749999999999985E-2</v>
      </c>
      <c r="I4" s="109">
        <v>5.8499999999999996E-2</v>
      </c>
      <c r="J4" s="109">
        <v>5.8150000000000007E-2</v>
      </c>
      <c r="K4" s="109">
        <v>5.8800000000000005E-2</v>
      </c>
      <c r="L4" s="109">
        <v>5.8600000000000013E-2</v>
      </c>
      <c r="M4" s="109">
        <v>5.8499999999999996E-2</v>
      </c>
    </row>
    <row r="5" spans="1:14" ht="13" x14ac:dyDescent="0.15">
      <c r="B5" s="126" t="s">
        <v>300</v>
      </c>
      <c r="C5" s="127"/>
      <c r="D5" s="111">
        <v>0.35</v>
      </c>
      <c r="E5" s="111">
        <v>0.35</v>
      </c>
      <c r="F5" s="111">
        <v>0.35</v>
      </c>
      <c r="G5" s="111">
        <v>0.35</v>
      </c>
      <c r="H5" s="111">
        <v>0.35</v>
      </c>
      <c r="I5" s="111">
        <v>0.35</v>
      </c>
      <c r="J5" s="111">
        <v>0.35</v>
      </c>
      <c r="K5" s="111">
        <v>0.35</v>
      </c>
      <c r="L5" s="111">
        <v>0.35</v>
      </c>
      <c r="M5" s="111">
        <v>0.35</v>
      </c>
    </row>
    <row r="7" spans="1:14" x14ac:dyDescent="0.15">
      <c r="D7" s="150"/>
    </row>
    <row r="8" spans="1:14" ht="13" x14ac:dyDescent="0.15">
      <c r="B8" s="122" t="s">
        <v>301</v>
      </c>
      <c r="C8" s="150">
        <f>(D8-'Estado de resultados'!D8)/'Estado de resultados'!D8</f>
        <v>0.49806619113751044</v>
      </c>
      <c r="D8" s="149">
        <v>9737430.2423938178</v>
      </c>
      <c r="E8" s="112">
        <f>D8*(1+D4)*(1+Datos!$C$31)</f>
        <v>10924461.938662594</v>
      </c>
      <c r="F8" s="112">
        <f>E8*(1+E4)*(1+Datos!$C$31)</f>
        <v>12371996.843383145</v>
      </c>
      <c r="G8" s="112">
        <f>F8*(1+F4)*(1+Datos!$C$31)</f>
        <v>13977238.689818423</v>
      </c>
      <c r="H8" s="112">
        <f>G8*(1+G4)*(1+Datos!$C$31)</f>
        <v>15759644.12202145</v>
      </c>
      <c r="I8" s="112">
        <f>H8*(1+H4)*(1+Datos!$C$31)</f>
        <v>17736770.275349651</v>
      </c>
      <c r="J8" s="112">
        <f>I8*(1+I4)*(1+Datos!$C$31)</f>
        <v>19900833.616645064</v>
      </c>
      <c r="K8" s="112">
        <f>J8*(1+J4)*(1+Datos!$C$31)</f>
        <v>22321551.116940156</v>
      </c>
      <c r="L8" s="112">
        <f>K8*(1+K4)*(1+Datos!$C$31)</f>
        <v>25052101.821973208</v>
      </c>
      <c r="M8" s="112">
        <f>L8*(1+L4)*(1+Datos!$C$31)</f>
        <v>28111364.288065292</v>
      </c>
    </row>
    <row r="9" spans="1:14" ht="13" x14ac:dyDescent="0.15">
      <c r="B9" s="122" t="s">
        <v>302</v>
      </c>
      <c r="C9" s="135"/>
      <c r="D9" s="112">
        <v>2000000</v>
      </c>
      <c r="E9" s="112">
        <f>D9*(1+D4)*(1+Datos!$C$23)</f>
        <v>2159136</v>
      </c>
      <c r="F9" s="112">
        <f>E9*(1+E4)*(1+Datos!$C$23)</f>
        <v>2352957.320448</v>
      </c>
      <c r="G9" s="112">
        <f>F9*(1+F4)*(1+Datos!$C$23)</f>
        <v>2557937.550376148</v>
      </c>
      <c r="H9" s="112">
        <f>G9*(1+G4)*(1+Datos!$C$23)</f>
        <v>2775295.7357818112</v>
      </c>
      <c r="I9" s="112">
        <f>H9*(1+H4)*(1+Datos!$C$23)</f>
        <v>3005603.6524156649</v>
      </c>
      <c r="J9" s="112">
        <f>I9*(1+I4)*(1+Datos!$C$23)</f>
        <v>3245060.095403621</v>
      </c>
      <c r="K9" s="112">
        <f>J9*(1+J4)*(1+Datos!$C$23)</f>
        <v>3502435.5467503686</v>
      </c>
      <c r="L9" s="112">
        <f>K9*(1+K4)*(1+Datos!$C$23)</f>
        <v>3782546.3320372761</v>
      </c>
      <c r="M9" s="112">
        <f>L9*(1+L4)*(1+Datos!$C$23)</f>
        <v>4084287.6180365537</v>
      </c>
    </row>
    <row r="10" spans="1:14" ht="13" x14ac:dyDescent="0.15">
      <c r="B10" s="126" t="s">
        <v>303</v>
      </c>
      <c r="C10" s="136"/>
      <c r="D10" s="113">
        <v>1000</v>
      </c>
      <c r="E10" s="113">
        <v>1000</v>
      </c>
      <c r="F10" s="113">
        <v>1000</v>
      </c>
      <c r="G10" s="113">
        <v>1500</v>
      </c>
      <c r="H10" s="113">
        <v>1500</v>
      </c>
      <c r="I10" s="113">
        <v>1500</v>
      </c>
      <c r="J10" s="113">
        <v>2500</v>
      </c>
      <c r="K10" s="113">
        <v>2500</v>
      </c>
      <c r="L10" s="113">
        <v>2500</v>
      </c>
      <c r="M10" s="113">
        <v>2500</v>
      </c>
    </row>
    <row r="11" spans="1:14" x14ac:dyDescent="0.15"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14" x14ac:dyDescent="0.15">
      <c r="D12" s="130"/>
      <c r="E12" s="130"/>
      <c r="F12" s="130"/>
      <c r="G12" s="130"/>
      <c r="H12" s="130"/>
      <c r="I12" s="130"/>
      <c r="J12" s="130"/>
      <c r="K12" s="130"/>
      <c r="L12" s="130"/>
      <c r="M12" s="130"/>
    </row>
    <row r="13" spans="1:14" x14ac:dyDescent="0.15">
      <c r="D13" s="114"/>
      <c r="E13" s="114"/>
      <c r="F13" s="114"/>
      <c r="G13" s="114"/>
      <c r="H13" s="114"/>
      <c r="I13" s="114"/>
      <c r="J13" s="114"/>
      <c r="K13" s="114"/>
      <c r="L13" s="114"/>
      <c r="M13" s="114"/>
    </row>
    <row r="14" spans="1:14" ht="13" x14ac:dyDescent="0.15">
      <c r="B14" s="131" t="s">
        <v>304</v>
      </c>
      <c r="C14" s="132" t="s">
        <v>299</v>
      </c>
      <c r="D14" s="132" t="s">
        <v>85</v>
      </c>
      <c r="E14" s="132" t="s">
        <v>86</v>
      </c>
      <c r="F14" s="132" t="s">
        <v>87</v>
      </c>
      <c r="G14" s="132" t="s">
        <v>88</v>
      </c>
      <c r="H14" s="132" t="s">
        <v>89</v>
      </c>
      <c r="I14" s="132" t="s">
        <v>90</v>
      </c>
      <c r="J14" s="132" t="s">
        <v>91</v>
      </c>
      <c r="K14" s="132" t="s">
        <v>92</v>
      </c>
      <c r="L14" s="132" t="s">
        <v>93</v>
      </c>
      <c r="M14" s="132" t="s">
        <v>94</v>
      </c>
      <c r="N14" s="132" t="s">
        <v>305</v>
      </c>
    </row>
    <row r="15" spans="1:14" ht="13" x14ac:dyDescent="0.15">
      <c r="A15" s="110">
        <f>D15/$D$15</f>
        <v>1</v>
      </c>
      <c r="B15" s="122" t="s">
        <v>306</v>
      </c>
      <c r="D15" s="112">
        <f>D8*D10</f>
        <v>9737430242.3938179</v>
      </c>
      <c r="E15" s="112">
        <f t="shared" ref="E15:M15" si="0">E8*E10</f>
        <v>10924461938.662594</v>
      </c>
      <c r="F15" s="112">
        <f t="shared" si="0"/>
        <v>12371996843.383144</v>
      </c>
      <c r="G15" s="112">
        <f t="shared" si="0"/>
        <v>20965858034.727634</v>
      </c>
      <c r="H15" s="112">
        <f t="shared" si="0"/>
        <v>23639466183.032173</v>
      </c>
      <c r="I15" s="112">
        <f t="shared" si="0"/>
        <v>26605155413.024475</v>
      </c>
      <c r="J15" s="112">
        <f t="shared" si="0"/>
        <v>49752084041.612663</v>
      </c>
      <c r="K15" s="112">
        <f t="shared" si="0"/>
        <v>55803877792.350388</v>
      </c>
      <c r="L15" s="112">
        <f t="shared" si="0"/>
        <v>62630254554.933022</v>
      </c>
      <c r="M15" s="112">
        <f t="shared" si="0"/>
        <v>70278410720.163223</v>
      </c>
    </row>
    <row r="16" spans="1:14" ht="13" x14ac:dyDescent="0.15">
      <c r="A16" s="110">
        <f t="shared" ref="A16:A36" si="1">D16/$D$15</f>
        <v>0.20539299899603969</v>
      </c>
      <c r="B16" s="134" t="s">
        <v>307</v>
      </c>
      <c r="D16" s="112">
        <f>D9*D10</f>
        <v>2000000000</v>
      </c>
      <c r="E16" s="112">
        <f t="shared" ref="E16:M16" si="2">E9*E10</f>
        <v>2159136000</v>
      </c>
      <c r="F16" s="112">
        <f t="shared" si="2"/>
        <v>2352957320.448</v>
      </c>
      <c r="G16" s="112">
        <f t="shared" si="2"/>
        <v>3836906325.5642219</v>
      </c>
      <c r="H16" s="112">
        <f t="shared" si="2"/>
        <v>4162943603.6727166</v>
      </c>
      <c r="I16" s="112">
        <f t="shared" si="2"/>
        <v>4508405478.623497</v>
      </c>
      <c r="J16" s="112">
        <f t="shared" si="2"/>
        <v>8112650238.5090523</v>
      </c>
      <c r="K16" s="112">
        <f t="shared" si="2"/>
        <v>8756088866.8759212</v>
      </c>
      <c r="L16" s="112">
        <f t="shared" si="2"/>
        <v>9456365830.0931911</v>
      </c>
      <c r="M16" s="112">
        <f t="shared" si="2"/>
        <v>10210719045.091385</v>
      </c>
    </row>
    <row r="17" spans="1:13" ht="13" x14ac:dyDescent="0.15">
      <c r="A17" s="110">
        <f t="shared" si="1"/>
        <v>3.0808949849405954E-2</v>
      </c>
      <c r="B17" s="122" t="s">
        <v>308</v>
      </c>
      <c r="D17" s="112">
        <f>Nómina!H3</f>
        <v>300000000</v>
      </c>
      <c r="E17" s="112">
        <f>D17*(1+D4)</f>
        <v>317520000</v>
      </c>
      <c r="F17" s="112">
        <f t="shared" ref="F17:M17" si="3">E17*(1+E4)</f>
        <v>339238368</v>
      </c>
      <c r="G17" s="112">
        <f t="shared" si="3"/>
        <v>361560252.61440003</v>
      </c>
      <c r="H17" s="112">
        <f t="shared" si="3"/>
        <v>384591640.70593733</v>
      </c>
      <c r="I17" s="112">
        <f t="shared" si="3"/>
        <v>408340174.51952893</v>
      </c>
      <c r="J17" s="112">
        <f t="shared" si="3"/>
        <v>432228074.72892135</v>
      </c>
      <c r="K17" s="112">
        <f t="shared" si="3"/>
        <v>457362137.2744081</v>
      </c>
      <c r="L17" s="112">
        <f t="shared" si="3"/>
        <v>484255030.94614327</v>
      </c>
      <c r="M17" s="112">
        <f t="shared" si="3"/>
        <v>512632375.75958723</v>
      </c>
    </row>
    <row r="18" spans="1:13" ht="13" x14ac:dyDescent="0.15">
      <c r="A18" s="110">
        <f t="shared" si="1"/>
        <v>5.5E-2</v>
      </c>
      <c r="B18" s="122" t="s">
        <v>309</v>
      </c>
      <c r="D18" s="112">
        <f>D15*Datos!$C$21</f>
        <v>535558663.33165997</v>
      </c>
      <c r="E18" s="112">
        <f>E15*Datos!$C$21</f>
        <v>600845406.62644267</v>
      </c>
      <c r="F18" s="112">
        <f>F15*Datos!$C$21</f>
        <v>680459826.38607299</v>
      </c>
      <c r="G18" s="112">
        <f>G15*Datos!$C$21</f>
        <v>1153122191.9100199</v>
      </c>
      <c r="H18" s="112">
        <f>H15*Datos!$C$21</f>
        <v>1300170640.0667696</v>
      </c>
      <c r="I18" s="112">
        <f>I15*Datos!$C$21</f>
        <v>1463283547.716346</v>
      </c>
      <c r="J18" s="112">
        <f>J15*Datos!$C$21</f>
        <v>2736364622.2886963</v>
      </c>
      <c r="K18" s="112">
        <f>K15*Datos!$C$21</f>
        <v>3069213278.5792713</v>
      </c>
      <c r="L18" s="112">
        <f>L15*Datos!$C$21</f>
        <v>3444664000.5213161</v>
      </c>
      <c r="M18" s="112">
        <f>M15*Datos!$C$21</f>
        <v>3865312589.6089773</v>
      </c>
    </row>
    <row r="19" spans="1:13" ht="13" x14ac:dyDescent="0.15">
      <c r="A19" s="110">
        <f t="shared" si="1"/>
        <v>0.7087980511545543</v>
      </c>
      <c r="B19" s="124" t="s">
        <v>310</v>
      </c>
      <c r="C19" s="107"/>
      <c r="D19" s="120">
        <f>D15-D16-D17-D18</f>
        <v>6901871579.0621576</v>
      </c>
      <c r="E19" s="120">
        <f t="shared" ref="E19:M19" si="4">E15-E16-E17-E18</f>
        <v>7846960532.0361509</v>
      </c>
      <c r="F19" s="120">
        <f t="shared" si="4"/>
        <v>8999341328.5490723</v>
      </c>
      <c r="G19" s="120">
        <f t="shared" si="4"/>
        <v>15614269264.638992</v>
      </c>
      <c r="H19" s="120">
        <f t="shared" si="4"/>
        <v>17791760298.58675</v>
      </c>
      <c r="I19" s="120">
        <f t="shared" si="4"/>
        <v>20225126212.165104</v>
      </c>
      <c r="J19" s="120">
        <f t="shared" si="4"/>
        <v>38470841106.085991</v>
      </c>
      <c r="K19" s="120">
        <f t="shared" si="4"/>
        <v>43521213509.620789</v>
      </c>
      <c r="L19" s="120">
        <f t="shared" si="4"/>
        <v>49244969693.372368</v>
      </c>
      <c r="M19" s="120">
        <f t="shared" si="4"/>
        <v>55689746709.70327</v>
      </c>
    </row>
    <row r="20" spans="1:13" ht="13" x14ac:dyDescent="0.15">
      <c r="A20" s="110">
        <f t="shared" si="1"/>
        <v>0.15281239125305354</v>
      </c>
      <c r="B20" s="134" t="s">
        <v>311</v>
      </c>
      <c r="D20" s="112">
        <f>Nómina!H4</f>
        <v>1488000000</v>
      </c>
      <c r="E20" s="112">
        <f>D20*(1+D4)</f>
        <v>1574899200</v>
      </c>
      <c r="F20" s="112">
        <f t="shared" ref="F20:L20" si="5">E20*(1+E4)</f>
        <v>1682622305.28</v>
      </c>
      <c r="G20" s="112">
        <f t="shared" si="5"/>
        <v>1793338852.9674242</v>
      </c>
      <c r="H20" s="112">
        <f t="shared" si="5"/>
        <v>1907574537.9014492</v>
      </c>
      <c r="I20" s="112">
        <f t="shared" si="5"/>
        <v>2025367265.6168637</v>
      </c>
      <c r="J20" s="112">
        <f t="shared" si="5"/>
        <v>2143851250.6554503</v>
      </c>
      <c r="K20" s="112">
        <f t="shared" si="5"/>
        <v>2268516200.8810644</v>
      </c>
      <c r="L20" s="112">
        <f t="shared" si="5"/>
        <v>2401904953.4928708</v>
      </c>
      <c r="M20" s="112">
        <f>L20*(1+L4)</f>
        <v>2542656583.7675529</v>
      </c>
    </row>
    <row r="21" spans="1:13" ht="13" x14ac:dyDescent="0.15">
      <c r="A21" s="110">
        <f t="shared" si="1"/>
        <v>0.25</v>
      </c>
      <c r="B21" s="134" t="s">
        <v>312</v>
      </c>
      <c r="D21" s="112">
        <f>D15*Datos!$C$26</f>
        <v>2434357560.5984545</v>
      </c>
      <c r="E21" s="112">
        <f>E15*Datos!$C$26</f>
        <v>2731115484.6656485</v>
      </c>
      <c r="F21" s="112">
        <f>F15*Datos!$C$26</f>
        <v>3092999210.8457861</v>
      </c>
      <c r="G21" s="112">
        <f>G15*Datos!$C$26</f>
        <v>5241464508.6819086</v>
      </c>
      <c r="H21" s="112">
        <f>H15*Datos!$C$26</f>
        <v>5909866545.7580433</v>
      </c>
      <c r="I21" s="112">
        <f>I15*Datos!$C$26</f>
        <v>6651288853.2561188</v>
      </c>
      <c r="J21" s="112">
        <f>J15*Datos!$C$26</f>
        <v>12438021010.403166</v>
      </c>
      <c r="K21" s="112">
        <f>K15*Datos!$C$26</f>
        <v>13950969448.087597</v>
      </c>
      <c r="L21" s="112">
        <f>L15*Datos!$C$26</f>
        <v>15657563638.733255</v>
      </c>
      <c r="M21" s="112">
        <f>M15*Datos!$C$26</f>
        <v>17569602680.040806</v>
      </c>
    </row>
    <row r="22" spans="1:13" ht="13" x14ac:dyDescent="0.15">
      <c r="A22" s="110">
        <f t="shared" si="1"/>
        <v>8.2136660298516267E-2</v>
      </c>
      <c r="B22" s="122" t="s">
        <v>313</v>
      </c>
      <c r="D22" s="112" cm="1">
        <f t="array" ref="D22:M22">Depreciaciones!B7:K7</f>
        <v>799800000</v>
      </c>
      <c r="E22" s="112">
        <v>799800000</v>
      </c>
      <c r="F22" s="112">
        <v>799800000</v>
      </c>
      <c r="G22" s="112">
        <v>799800000</v>
      </c>
      <c r="H22" s="112">
        <v>799800000</v>
      </c>
      <c r="I22" s="112">
        <v>799800000</v>
      </c>
      <c r="J22" s="112">
        <v>799800000</v>
      </c>
      <c r="K22" s="112">
        <v>799800000</v>
      </c>
      <c r="L22" s="112">
        <v>799800000</v>
      </c>
      <c r="M22" s="112">
        <v>799800000</v>
      </c>
    </row>
    <row r="23" spans="1:13" ht="13" x14ac:dyDescent="0.15">
      <c r="A23" s="110">
        <f t="shared" si="1"/>
        <v>2.8755019859445556E-2</v>
      </c>
      <c r="B23" s="122" t="s">
        <v>117</v>
      </c>
      <c r="D23" s="112" cm="1">
        <f t="array" ref="D23:M23">'Amortización gasto seguro'!B4:K4</f>
        <v>280000000</v>
      </c>
      <c r="E23" s="112">
        <v>280000000</v>
      </c>
      <c r="F23" s="112">
        <v>280000000</v>
      </c>
      <c r="G23" s="112">
        <v>280000000</v>
      </c>
      <c r="H23" s="112">
        <v>280000000</v>
      </c>
      <c r="I23" s="112">
        <v>280000000</v>
      </c>
      <c r="J23" s="112">
        <v>280000000</v>
      </c>
      <c r="K23" s="112">
        <v>280000000</v>
      </c>
      <c r="L23" s="112">
        <v>280000000</v>
      </c>
      <c r="M23" s="112">
        <v>280000000</v>
      </c>
    </row>
    <row r="24" spans="1:13" ht="13" x14ac:dyDescent="0.15">
      <c r="A24" s="110">
        <f t="shared" si="1"/>
        <v>0.02</v>
      </c>
      <c r="B24" s="122" t="s">
        <v>44</v>
      </c>
      <c r="D24" s="112">
        <f>D15*Datos!$C$27</f>
        <v>194748604.84787637</v>
      </c>
      <c r="E24" s="112">
        <f>E15*Datos!$C$27</f>
        <v>218489238.77325189</v>
      </c>
      <c r="F24" s="112">
        <f>F15*Datos!$C$27</f>
        <v>247439936.86766291</v>
      </c>
      <c r="G24" s="112">
        <f>G15*Datos!$C$27</f>
        <v>419317160.69455272</v>
      </c>
      <c r="H24" s="112">
        <f>H15*Datos!$C$27</f>
        <v>472789323.66064346</v>
      </c>
      <c r="I24" s="112">
        <f>I15*Datos!$C$27</f>
        <v>532103108.26048952</v>
      </c>
      <c r="J24" s="112">
        <f>J15*Datos!$C$27</f>
        <v>995041680.83225334</v>
      </c>
      <c r="K24" s="112">
        <f>K15*Datos!$C$27</f>
        <v>1116077555.8470078</v>
      </c>
      <c r="L24" s="112">
        <f>L15*Datos!$C$27</f>
        <v>1252605091.0986605</v>
      </c>
      <c r="M24" s="112">
        <f>M15*Datos!$C$27</f>
        <v>1405568214.4032645</v>
      </c>
    </row>
    <row r="25" spans="1:13" ht="13" x14ac:dyDescent="0.15">
      <c r="A25" s="110">
        <f t="shared" si="1"/>
        <v>0.17509397974353896</v>
      </c>
      <c r="B25" s="124" t="s">
        <v>314</v>
      </c>
      <c r="C25" s="107"/>
      <c r="D25" s="120">
        <f t="shared" ref="D25:M25" si="6">D19-D20-D21-D22-D23-D24</f>
        <v>1704965413.6158268</v>
      </c>
      <c r="E25" s="120">
        <f t="shared" si="6"/>
        <v>2242656608.5972505</v>
      </c>
      <c r="F25" s="120">
        <f t="shared" si="6"/>
        <v>2896479875.5556235</v>
      </c>
      <c r="G25" s="120">
        <f t="shared" si="6"/>
        <v>7080348742.2951069</v>
      </c>
      <c r="H25" s="120">
        <f t="shared" si="6"/>
        <v>8421729891.266614</v>
      </c>
      <c r="I25" s="120">
        <f t="shared" si="6"/>
        <v>9936566985.0316315</v>
      </c>
      <c r="J25" s="120">
        <f t="shared" si="6"/>
        <v>21814127164.195122</v>
      </c>
      <c r="K25" s="120">
        <f t="shared" si="6"/>
        <v>25105850304.805119</v>
      </c>
      <c r="L25" s="120">
        <f t="shared" si="6"/>
        <v>28853096010.047581</v>
      </c>
      <c r="M25" s="120">
        <f t="shared" si="6"/>
        <v>33092119231.49165</v>
      </c>
    </row>
    <row r="26" spans="1:13" ht="13" x14ac:dyDescent="0.15">
      <c r="A26" s="110">
        <f t="shared" si="1"/>
        <v>0.18027296082767044</v>
      </c>
      <c r="B26" s="122" t="s">
        <v>315</v>
      </c>
      <c r="D26" s="112" cm="1">
        <f t="array" ref="D26:M26">TRANSPOSE(Bancos!L20:L29)*1000000</f>
        <v>1755395380.6492343</v>
      </c>
      <c r="E26" s="112">
        <v>2529568053.8748879</v>
      </c>
      <c r="F26" s="112">
        <v>2354028515.8099647</v>
      </c>
      <c r="G26" s="112">
        <v>2178488977.7450414</v>
      </c>
      <c r="H26" s="112">
        <v>2002949439.6801176</v>
      </c>
      <c r="I26" s="112">
        <v>1827409901.6151943</v>
      </c>
      <c r="J26" s="112">
        <v>1651870363.5502708</v>
      </c>
      <c r="K26" s="112">
        <v>1476330825.4853475</v>
      </c>
      <c r="L26" s="112">
        <v>1300791287.4204242</v>
      </c>
      <c r="M26" s="112">
        <v>1899424422.5811543</v>
      </c>
    </row>
    <row r="27" spans="1:13" ht="13" x14ac:dyDescent="0.15">
      <c r="A27" s="110">
        <f t="shared" si="1"/>
        <v>-5.1789810841314857E-3</v>
      </c>
      <c r="B27" s="124" t="s">
        <v>316</v>
      </c>
      <c r="C27" s="107"/>
      <c r="D27" s="120">
        <f>D25-D26</f>
        <v>-50429967.03340745</v>
      </c>
      <c r="E27" s="120">
        <f t="shared" ref="E27:M27" si="7">E25-E26</f>
        <v>-286911445.27763748</v>
      </c>
      <c r="F27" s="120">
        <f t="shared" si="7"/>
        <v>542451359.74565887</v>
      </c>
      <c r="G27" s="120">
        <f t="shared" si="7"/>
        <v>4901859764.550066</v>
      </c>
      <c r="H27" s="120">
        <f t="shared" si="7"/>
        <v>6418780451.5864964</v>
      </c>
      <c r="I27" s="120">
        <f t="shared" si="7"/>
        <v>8109157083.4164371</v>
      </c>
      <c r="J27" s="120">
        <f t="shared" si="7"/>
        <v>20162256800.644852</v>
      </c>
      <c r="K27" s="120">
        <f t="shared" si="7"/>
        <v>23629519479.319771</v>
      </c>
      <c r="L27" s="120">
        <f t="shared" si="7"/>
        <v>27552304722.627155</v>
      </c>
      <c r="M27" s="120">
        <f t="shared" si="7"/>
        <v>31192694808.910496</v>
      </c>
    </row>
    <row r="28" spans="1:13" ht="13" x14ac:dyDescent="0.15">
      <c r="A28" s="110">
        <f t="shared" si="1"/>
        <v>0</v>
      </c>
      <c r="B28" s="122" t="s">
        <v>317</v>
      </c>
      <c r="D28" s="112">
        <f t="shared" ref="D28:M28" si="8">IF(D27&lt;0,0,D27*D5)</f>
        <v>0</v>
      </c>
      <c r="E28" s="112">
        <f t="shared" si="8"/>
        <v>0</v>
      </c>
      <c r="F28" s="112">
        <f t="shared" si="8"/>
        <v>189857975.91098058</v>
      </c>
      <c r="G28" s="112">
        <f t="shared" si="8"/>
        <v>1715650917.5925231</v>
      </c>
      <c r="H28" s="112">
        <f t="shared" si="8"/>
        <v>2246573158.0552735</v>
      </c>
      <c r="I28" s="112">
        <f t="shared" si="8"/>
        <v>2838204979.1957526</v>
      </c>
      <c r="J28" s="112">
        <f t="shared" si="8"/>
        <v>7056789880.2256975</v>
      </c>
      <c r="K28" s="112">
        <f t="shared" si="8"/>
        <v>8270331817.761919</v>
      </c>
      <c r="L28" s="112">
        <f t="shared" si="8"/>
        <v>9643306652.9195042</v>
      </c>
      <c r="M28" s="112">
        <f t="shared" si="8"/>
        <v>10917443183.118673</v>
      </c>
    </row>
    <row r="29" spans="1:13" ht="13" x14ac:dyDescent="0.15">
      <c r="A29" s="110">
        <f t="shared" si="1"/>
        <v>-5.1789810841314857E-3</v>
      </c>
      <c r="B29" s="124" t="s">
        <v>318</v>
      </c>
      <c r="C29" s="107"/>
      <c r="D29" s="120">
        <f>D27-D28</f>
        <v>-50429967.03340745</v>
      </c>
      <c r="E29" s="120">
        <f t="shared" ref="E29:M29" si="9">E27-E28</f>
        <v>-286911445.27763748</v>
      </c>
      <c r="F29" s="120">
        <f t="shared" si="9"/>
        <v>352593383.83467829</v>
      </c>
      <c r="G29" s="120">
        <f t="shared" si="9"/>
        <v>3186208846.9575429</v>
      </c>
      <c r="H29" s="120">
        <f t="shared" si="9"/>
        <v>4172207293.5312228</v>
      </c>
      <c r="I29" s="120">
        <f t="shared" si="9"/>
        <v>5270952104.2206841</v>
      </c>
      <c r="J29" s="120">
        <f t="shared" si="9"/>
        <v>13105466920.419155</v>
      </c>
      <c r="K29" s="120">
        <f t="shared" si="9"/>
        <v>15359187661.557852</v>
      </c>
      <c r="L29" s="120">
        <f t="shared" si="9"/>
        <v>17908998069.707649</v>
      </c>
      <c r="M29" s="120">
        <f t="shared" si="9"/>
        <v>20275251625.791824</v>
      </c>
    </row>
    <row r="30" spans="1:13" x14ac:dyDescent="0.15">
      <c r="A30" s="110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 ht="13" x14ac:dyDescent="0.15">
      <c r="A31" s="110"/>
      <c r="B31" s="124" t="s">
        <v>319</v>
      </c>
      <c r="C31" s="107"/>
      <c r="D31" s="120">
        <f>D25+D22+D23</f>
        <v>2784765413.6158266</v>
      </c>
      <c r="E31" s="120">
        <f>E25+E22+E23</f>
        <v>3322456608.5972505</v>
      </c>
      <c r="F31" s="120">
        <f t="shared" ref="F31:M31" si="10">F25+F22+F23</f>
        <v>3976279875.5556235</v>
      </c>
      <c r="G31" s="120">
        <f t="shared" si="10"/>
        <v>8160148742.2951069</v>
      </c>
      <c r="H31" s="120">
        <f t="shared" si="10"/>
        <v>9501529891.266613</v>
      </c>
      <c r="I31" s="120">
        <f t="shared" si="10"/>
        <v>11016366985.031631</v>
      </c>
      <c r="J31" s="120">
        <f t="shared" si="10"/>
        <v>22893927164.195122</v>
      </c>
      <c r="K31" s="120">
        <f t="shared" si="10"/>
        <v>26185650304.805119</v>
      </c>
      <c r="L31" s="120">
        <f t="shared" si="10"/>
        <v>29932896010.047581</v>
      </c>
      <c r="M31" s="120">
        <f t="shared" si="10"/>
        <v>34171919231.49165</v>
      </c>
    </row>
    <row r="32" spans="1:13" x14ac:dyDescent="0.15">
      <c r="A32" s="110"/>
      <c r="D32" s="137"/>
    </row>
    <row r="33" spans="1:16" ht="13" x14ac:dyDescent="0.15">
      <c r="A33" s="110">
        <f t="shared" si="1"/>
        <v>8.3333333333333329E-2</v>
      </c>
      <c r="B33" s="134" t="s">
        <v>320</v>
      </c>
      <c r="D33" s="112">
        <f>(Datos!$C$28/360)*'Breakeven Precio'!D15</f>
        <v>811452520.19948483</v>
      </c>
      <c r="E33" s="112">
        <f>(Datos!$C$28/360)*'Breakeven Precio'!E15</f>
        <v>910371828.22188282</v>
      </c>
      <c r="F33" s="112">
        <f>(Datos!$C$28/360)*'Breakeven Precio'!F15</f>
        <v>1030999736.9485953</v>
      </c>
      <c r="G33" s="112">
        <f>(Datos!$C$28/360)*'Breakeven Precio'!G15</f>
        <v>1747154836.2273028</v>
      </c>
      <c r="H33" s="112">
        <f>(Datos!$C$28/360)*'Breakeven Precio'!H15</f>
        <v>1969955515.252681</v>
      </c>
      <c r="I33" s="112">
        <f>(Datos!$C$28/360)*'Breakeven Precio'!I15</f>
        <v>2217096284.4187059</v>
      </c>
      <c r="J33" s="112">
        <f>(Datos!$C$28/360)*'Breakeven Precio'!J15</f>
        <v>4146007003.4677219</v>
      </c>
      <c r="K33" s="112">
        <f>(Datos!$C$28/360)*'Breakeven Precio'!K15</f>
        <v>4650323149.3625317</v>
      </c>
      <c r="L33" s="112">
        <f>(Datos!$C$28/360)*'Breakeven Precio'!L15</f>
        <v>5219187879.5777512</v>
      </c>
      <c r="M33" s="112">
        <f>(Datos!$C$28/360)*'Breakeven Precio'!M15</f>
        <v>5856534226.6802683</v>
      </c>
    </row>
    <row r="34" spans="1:16" ht="13" x14ac:dyDescent="0.15">
      <c r="A34" s="110"/>
      <c r="B34" s="124" t="s">
        <v>321</v>
      </c>
      <c r="D34" s="112">
        <f>D33</f>
        <v>811452520.19948483</v>
      </c>
      <c r="E34" s="112">
        <f t="shared" ref="E34:M34" si="11">E33</f>
        <v>910371828.22188282</v>
      </c>
      <c r="F34" s="112">
        <f t="shared" si="11"/>
        <v>1030999736.9485953</v>
      </c>
      <c r="G34" s="112">
        <f t="shared" si="11"/>
        <v>1747154836.2273028</v>
      </c>
      <c r="H34" s="112">
        <f t="shared" si="11"/>
        <v>1969955515.252681</v>
      </c>
      <c r="I34" s="112">
        <f t="shared" si="11"/>
        <v>2217096284.4187059</v>
      </c>
      <c r="J34" s="112">
        <f t="shared" si="11"/>
        <v>4146007003.4677219</v>
      </c>
      <c r="K34" s="112">
        <f t="shared" si="11"/>
        <v>4650323149.3625317</v>
      </c>
      <c r="L34" s="112">
        <f t="shared" si="11"/>
        <v>5219187879.5777512</v>
      </c>
      <c r="M34" s="112">
        <f t="shared" si="11"/>
        <v>5856534226.6802683</v>
      </c>
    </row>
    <row r="35" spans="1:16" ht="13" x14ac:dyDescent="0.15">
      <c r="A35" s="110">
        <f t="shared" si="1"/>
        <v>5.1348249749009922E-2</v>
      </c>
      <c r="B35" s="134" t="s">
        <v>322</v>
      </c>
      <c r="D35" s="112">
        <f>(Datos!$C$29/360)*'Breakeven Precio'!D16</f>
        <v>500000000</v>
      </c>
      <c r="E35" s="112">
        <f>(Datos!$C$29/360)*'Breakeven Precio'!E16</f>
        <v>539784000</v>
      </c>
      <c r="F35" s="112">
        <f>(Datos!$C$29/360)*'Breakeven Precio'!F16</f>
        <v>588239330.11199999</v>
      </c>
      <c r="G35" s="112">
        <f>(Datos!$C$29/360)*'Breakeven Precio'!G16</f>
        <v>959226581.39105546</v>
      </c>
      <c r="H35" s="112">
        <f>(Datos!$C$29/360)*'Breakeven Precio'!H16</f>
        <v>1040735900.9181792</v>
      </c>
      <c r="I35" s="112">
        <f>(Datos!$C$29/360)*'Breakeven Precio'!I16</f>
        <v>1127101369.6558743</v>
      </c>
      <c r="J35" s="112">
        <f>(Datos!$C$29/360)*'Breakeven Precio'!J16</f>
        <v>2028162559.6272631</v>
      </c>
      <c r="K35" s="112">
        <f>(Datos!$C$29/360)*'Breakeven Precio'!K16</f>
        <v>2189022216.7189803</v>
      </c>
      <c r="L35" s="112">
        <f>(Datos!$C$29/360)*'Breakeven Precio'!L16</f>
        <v>2364091457.5232978</v>
      </c>
      <c r="M35" s="112">
        <f>(Datos!$C$29/360)*'Breakeven Precio'!M16</f>
        <v>2552679761.2728462</v>
      </c>
    </row>
    <row r="36" spans="1:16" ht="13" x14ac:dyDescent="0.15">
      <c r="A36" s="110">
        <f t="shared" si="1"/>
        <v>0</v>
      </c>
      <c r="B36" s="122" t="s">
        <v>323</v>
      </c>
      <c r="D36" s="112">
        <f>D28</f>
        <v>0</v>
      </c>
      <c r="E36" s="112">
        <f t="shared" ref="E36:M36" si="12">E28</f>
        <v>0</v>
      </c>
      <c r="F36" s="112">
        <f t="shared" si="12"/>
        <v>189857975.91098058</v>
      </c>
      <c r="G36" s="112">
        <f t="shared" si="12"/>
        <v>1715650917.5925231</v>
      </c>
      <c r="H36" s="112">
        <f t="shared" si="12"/>
        <v>2246573158.0552735</v>
      </c>
      <c r="I36" s="112">
        <f t="shared" si="12"/>
        <v>2838204979.1957526</v>
      </c>
      <c r="J36" s="112">
        <f t="shared" si="12"/>
        <v>7056789880.2256975</v>
      </c>
      <c r="K36" s="112">
        <f t="shared" si="12"/>
        <v>8270331817.761919</v>
      </c>
      <c r="L36" s="112">
        <f t="shared" si="12"/>
        <v>9643306652.9195042</v>
      </c>
      <c r="M36" s="112">
        <f t="shared" si="12"/>
        <v>10917443183.118673</v>
      </c>
    </row>
    <row r="37" spans="1:16" ht="13" x14ac:dyDescent="0.15">
      <c r="A37" s="110"/>
      <c r="B37" s="124" t="s">
        <v>324</v>
      </c>
      <c r="C37" s="107"/>
      <c r="D37" s="120">
        <f>D34-D35-D36</f>
        <v>311452520.19948483</v>
      </c>
      <c r="E37" s="120">
        <f>E34-E35-E36</f>
        <v>370587828.22188282</v>
      </c>
      <c r="F37" s="120">
        <f t="shared" ref="F37:M37" si="13">F34-F35-F36</f>
        <v>252902430.92561471</v>
      </c>
      <c r="G37" s="120">
        <f t="shared" si="13"/>
        <v>-927722662.75627577</v>
      </c>
      <c r="H37" s="120">
        <f t="shared" si="13"/>
        <v>-1317353543.7207718</v>
      </c>
      <c r="I37" s="120">
        <f t="shared" si="13"/>
        <v>-1748210064.4329209</v>
      </c>
      <c r="J37" s="120">
        <f t="shared" si="13"/>
        <v>-4938945436.3852386</v>
      </c>
      <c r="K37" s="120">
        <f t="shared" si="13"/>
        <v>-5809030885.1183681</v>
      </c>
      <c r="L37" s="120">
        <f t="shared" si="13"/>
        <v>-6788210230.8650513</v>
      </c>
      <c r="M37" s="120">
        <f t="shared" si="13"/>
        <v>-7613588717.7112513</v>
      </c>
      <c r="O37" s="108" t="s">
        <v>325</v>
      </c>
      <c r="P37" s="116">
        <v>0.3</v>
      </c>
    </row>
    <row r="38" spans="1:16" ht="13" x14ac:dyDescent="0.15">
      <c r="A38" s="110"/>
      <c r="B38" s="124" t="s">
        <v>326</v>
      </c>
      <c r="C38" s="107"/>
      <c r="D38" s="120">
        <f>D37</f>
        <v>311452520.19948483</v>
      </c>
      <c r="E38" s="120">
        <f>E37-D37</f>
        <v>59135308.022397995</v>
      </c>
      <c r="F38" s="120">
        <f t="shared" ref="F38:M38" si="14">F37-E37</f>
        <v>-117685397.29626811</v>
      </c>
      <c r="G38" s="120">
        <f t="shared" si="14"/>
        <v>-1180625093.6818905</v>
      </c>
      <c r="H38" s="120">
        <f t="shared" si="14"/>
        <v>-389630880.96449602</v>
      </c>
      <c r="I38" s="120">
        <f t="shared" si="14"/>
        <v>-430856520.71214914</v>
      </c>
      <c r="J38" s="120">
        <f t="shared" si="14"/>
        <v>-3190735371.9523177</v>
      </c>
      <c r="K38" s="120">
        <f t="shared" si="14"/>
        <v>-870085448.7331295</v>
      </c>
      <c r="L38" s="120">
        <f t="shared" si="14"/>
        <v>-979179345.74668312</v>
      </c>
      <c r="M38" s="120">
        <f t="shared" si="14"/>
        <v>-825378486.84619999</v>
      </c>
      <c r="O38" s="108" t="s">
        <v>327</v>
      </c>
      <c r="P38" s="116">
        <v>0.105</v>
      </c>
    </row>
    <row r="39" spans="1:16" x14ac:dyDescent="0.15">
      <c r="A39" s="110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O39" s="108" t="s">
        <v>328</v>
      </c>
      <c r="P39" s="116">
        <v>0.15</v>
      </c>
    </row>
    <row r="40" spans="1:16" ht="13" x14ac:dyDescent="0.15">
      <c r="A40" s="110"/>
      <c r="B40" s="122" t="s">
        <v>329</v>
      </c>
      <c r="C40" s="120">
        <f>Datos!C10*1000000</f>
        <v>14000000000</v>
      </c>
      <c r="D40" s="112">
        <f>C40</f>
        <v>14000000000</v>
      </c>
      <c r="E40" s="112">
        <f t="shared" ref="E40:M40" si="15">D40</f>
        <v>14000000000</v>
      </c>
      <c r="F40" s="112">
        <f t="shared" si="15"/>
        <v>14000000000</v>
      </c>
      <c r="G40" s="112">
        <f t="shared" si="15"/>
        <v>14000000000</v>
      </c>
      <c r="H40" s="112">
        <f t="shared" si="15"/>
        <v>14000000000</v>
      </c>
      <c r="I40" s="112">
        <f t="shared" si="15"/>
        <v>14000000000</v>
      </c>
      <c r="J40" s="112">
        <f t="shared" si="15"/>
        <v>14000000000</v>
      </c>
      <c r="K40" s="112">
        <f t="shared" si="15"/>
        <v>14000000000</v>
      </c>
      <c r="L40" s="112">
        <f t="shared" si="15"/>
        <v>14000000000</v>
      </c>
      <c r="M40" s="112">
        <f t="shared" si="15"/>
        <v>14000000000</v>
      </c>
    </row>
    <row r="41" spans="1:16" ht="13" x14ac:dyDescent="0.15">
      <c r="A41" s="110"/>
      <c r="B41" s="122" t="s">
        <v>330</v>
      </c>
      <c r="D41" s="112">
        <f>D22</f>
        <v>799800000</v>
      </c>
      <c r="E41" s="112">
        <f t="shared" ref="E41:M41" si="16">E22</f>
        <v>799800000</v>
      </c>
      <c r="F41" s="112">
        <f t="shared" si="16"/>
        <v>799800000</v>
      </c>
      <c r="G41" s="112">
        <f t="shared" si="16"/>
        <v>799800000</v>
      </c>
      <c r="H41" s="112">
        <f t="shared" si="16"/>
        <v>799800000</v>
      </c>
      <c r="I41" s="112">
        <f t="shared" si="16"/>
        <v>799800000</v>
      </c>
      <c r="J41" s="112">
        <f t="shared" si="16"/>
        <v>799800000</v>
      </c>
      <c r="K41" s="112">
        <f t="shared" si="16"/>
        <v>799800000</v>
      </c>
      <c r="L41" s="112">
        <f t="shared" si="16"/>
        <v>799800000</v>
      </c>
      <c r="M41" s="112">
        <f t="shared" si="16"/>
        <v>799800000</v>
      </c>
      <c r="O41" s="108" t="s">
        <v>331</v>
      </c>
      <c r="P41" s="117">
        <f>Datos!$C$10*1000000*P37</f>
        <v>4200000000</v>
      </c>
    </row>
    <row r="42" spans="1:16" ht="13" x14ac:dyDescent="0.15">
      <c r="A42" s="110"/>
      <c r="B42" s="124" t="s">
        <v>332</v>
      </c>
      <c r="C42" s="107"/>
      <c r="D42" s="120">
        <f>D40-D41</f>
        <v>13200200000</v>
      </c>
      <c r="E42" s="120">
        <f>D42-E41</f>
        <v>12400400000</v>
      </c>
      <c r="F42" s="120">
        <f t="shared" ref="F42:M42" si="17">E42-F41</f>
        <v>11600600000</v>
      </c>
      <c r="G42" s="120">
        <f t="shared" si="17"/>
        <v>10800800000</v>
      </c>
      <c r="H42" s="120">
        <f t="shared" si="17"/>
        <v>10001000000</v>
      </c>
      <c r="I42" s="120">
        <f t="shared" si="17"/>
        <v>9201200000</v>
      </c>
      <c r="J42" s="120">
        <f t="shared" si="17"/>
        <v>8401400000</v>
      </c>
      <c r="K42" s="120">
        <f t="shared" si="17"/>
        <v>7601600000</v>
      </c>
      <c r="L42" s="120">
        <f t="shared" si="17"/>
        <v>6801800000</v>
      </c>
      <c r="M42" s="120">
        <f t="shared" si="17"/>
        <v>6002000000</v>
      </c>
      <c r="N42" s="112"/>
      <c r="O42" s="108" t="s">
        <v>333</v>
      </c>
      <c r="P42" s="115">
        <f>M42</f>
        <v>6002000000</v>
      </c>
    </row>
    <row r="43" spans="1:16" x14ac:dyDescent="0.15">
      <c r="A43" s="110"/>
      <c r="B43" s="124"/>
      <c r="C43" s="107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O43" s="108" t="s">
        <v>318</v>
      </c>
      <c r="P43" s="117">
        <f>P41-P42</f>
        <v>-1802000000</v>
      </c>
    </row>
    <row r="44" spans="1:16" ht="13" x14ac:dyDescent="0.15">
      <c r="A44" s="110"/>
      <c r="B44" s="124" t="s">
        <v>334</v>
      </c>
      <c r="C44" s="107"/>
      <c r="D44" s="120">
        <f>D42+D37</f>
        <v>13511652520.199486</v>
      </c>
      <c r="E44" s="120">
        <f>E42+E37</f>
        <v>12770987828.221882</v>
      </c>
      <c r="F44" s="120">
        <f t="shared" ref="F44:L44" si="18">F42+F37</f>
        <v>11853502430.925615</v>
      </c>
      <c r="G44" s="120">
        <f t="shared" si="18"/>
        <v>9873077337.2437248</v>
      </c>
      <c r="H44" s="120">
        <f t="shared" si="18"/>
        <v>8683646456.2792282</v>
      </c>
      <c r="I44" s="120">
        <f t="shared" si="18"/>
        <v>7452989935.5670795</v>
      </c>
      <c r="J44" s="120">
        <f t="shared" si="18"/>
        <v>3462454563.6147614</v>
      </c>
      <c r="K44" s="120">
        <f t="shared" si="18"/>
        <v>1792569114.8816319</v>
      </c>
      <c r="L44" s="120">
        <f t="shared" si="18"/>
        <v>13589769.13494873</v>
      </c>
      <c r="M44" s="120">
        <f>M42+M37</f>
        <v>-1611588717.7112513</v>
      </c>
      <c r="O44" s="108" t="s">
        <v>335</v>
      </c>
      <c r="P44" s="108">
        <f>IF(P43&lt;0,0,P43*P39)</f>
        <v>0</v>
      </c>
    </row>
    <row r="45" spans="1:16" x14ac:dyDescent="0.15">
      <c r="B45" s="124"/>
      <c r="D45" s="115"/>
      <c r="E45" s="115"/>
      <c r="F45" s="115"/>
      <c r="G45" s="115"/>
      <c r="H45" s="115"/>
      <c r="I45" s="115"/>
      <c r="J45" s="115"/>
      <c r="K45" s="115"/>
      <c r="L45" s="115"/>
      <c r="M45" s="115"/>
    </row>
    <row r="46" spans="1:16" x14ac:dyDescent="0.15">
      <c r="O46" s="108" t="s">
        <v>336</v>
      </c>
      <c r="P46" s="117">
        <f>P41-P44</f>
        <v>4200000000</v>
      </c>
    </row>
    <row r="47" spans="1:16" ht="13" x14ac:dyDescent="0.15">
      <c r="B47" s="131" t="s">
        <v>337</v>
      </c>
      <c r="C47" s="133" t="s">
        <v>299</v>
      </c>
      <c r="D47" s="133" t="s">
        <v>85</v>
      </c>
      <c r="E47" s="133" t="s">
        <v>86</v>
      </c>
      <c r="F47" s="133" t="s">
        <v>87</v>
      </c>
      <c r="G47" s="133" t="s">
        <v>88</v>
      </c>
      <c r="H47" s="133" t="s">
        <v>89</v>
      </c>
      <c r="I47" s="133" t="s">
        <v>90</v>
      </c>
      <c r="J47" s="133" t="s">
        <v>91</v>
      </c>
      <c r="K47" s="133" t="s">
        <v>92</v>
      </c>
      <c r="L47" s="133" t="s">
        <v>93</v>
      </c>
      <c r="M47" s="133" t="s">
        <v>94</v>
      </c>
      <c r="N47" s="133" t="s">
        <v>305</v>
      </c>
      <c r="O47" s="108" t="s">
        <v>338</v>
      </c>
      <c r="P47" s="117">
        <f>Datos!$C$10*'Breakeven Precio'!P38*1000000</f>
        <v>1470000000</v>
      </c>
    </row>
    <row r="48" spans="1:16" ht="13" x14ac:dyDescent="0.15">
      <c r="B48" s="122" t="s">
        <v>314</v>
      </c>
      <c r="C48" s="112"/>
      <c r="D48" s="112">
        <f>D25</f>
        <v>1704965413.6158268</v>
      </c>
      <c r="E48" s="112">
        <f t="shared" ref="E48:M48" si="19">E25</f>
        <v>2242656608.5972505</v>
      </c>
      <c r="F48" s="112">
        <f t="shared" si="19"/>
        <v>2896479875.5556235</v>
      </c>
      <c r="G48" s="112">
        <f t="shared" si="19"/>
        <v>7080348742.2951069</v>
      </c>
      <c r="H48" s="112">
        <f t="shared" si="19"/>
        <v>8421729891.266614</v>
      </c>
      <c r="I48" s="112">
        <f t="shared" si="19"/>
        <v>9936566985.0316315</v>
      </c>
      <c r="J48" s="112">
        <f t="shared" si="19"/>
        <v>21814127164.195122</v>
      </c>
      <c r="K48" s="112">
        <f t="shared" si="19"/>
        <v>25105850304.805119</v>
      </c>
      <c r="L48" s="112">
        <f t="shared" si="19"/>
        <v>28853096010.047581</v>
      </c>
      <c r="M48" s="112">
        <f t="shared" si="19"/>
        <v>33092119231.49165</v>
      </c>
      <c r="O48" s="108" t="s">
        <v>339</v>
      </c>
      <c r="P48" s="117">
        <f>P46-P47</f>
        <v>2730000000</v>
      </c>
    </row>
    <row r="49" spans="2:14" ht="13" x14ac:dyDescent="0.15">
      <c r="B49" s="122" t="s">
        <v>340</v>
      </c>
      <c r="C49" s="112"/>
      <c r="D49" s="112">
        <f t="shared" ref="D49:M49" si="20">IF(D48&lt;0,0,D48*D5)</f>
        <v>596737894.76553941</v>
      </c>
      <c r="E49" s="112">
        <f t="shared" si="20"/>
        <v>784929813.00903761</v>
      </c>
      <c r="F49" s="112">
        <f t="shared" si="20"/>
        <v>1013767956.4444681</v>
      </c>
      <c r="G49" s="112">
        <f t="shared" si="20"/>
        <v>2478122059.803287</v>
      </c>
      <c r="H49" s="112">
        <f t="shared" si="20"/>
        <v>2947605461.9433146</v>
      </c>
      <c r="I49" s="112">
        <f t="shared" si="20"/>
        <v>3477798444.7610707</v>
      </c>
      <c r="J49" s="112">
        <f t="shared" si="20"/>
        <v>7634944507.4682922</v>
      </c>
      <c r="K49" s="112">
        <f t="shared" si="20"/>
        <v>8787047606.6817913</v>
      </c>
      <c r="L49" s="112">
        <f t="shared" si="20"/>
        <v>10098583603.516653</v>
      </c>
      <c r="M49" s="112">
        <f t="shared" si="20"/>
        <v>11582241731.022078</v>
      </c>
    </row>
    <row r="50" spans="2:14" s="107" customFormat="1" ht="13" x14ac:dyDescent="0.15">
      <c r="B50" s="124" t="s">
        <v>341</v>
      </c>
      <c r="C50" s="120"/>
      <c r="D50" s="120">
        <f>D48-D49</f>
        <v>1108227518.8502874</v>
      </c>
      <c r="E50" s="120">
        <f t="shared" ref="E50:M50" si="21">E48-E49</f>
        <v>1457726795.588213</v>
      </c>
      <c r="F50" s="120">
        <f t="shared" si="21"/>
        <v>1882711919.1111555</v>
      </c>
      <c r="G50" s="120">
        <f t="shared" si="21"/>
        <v>4602226682.4918194</v>
      </c>
      <c r="H50" s="120">
        <f t="shared" si="21"/>
        <v>5474124429.3232994</v>
      </c>
      <c r="I50" s="120">
        <f t="shared" si="21"/>
        <v>6458768540.2705612</v>
      </c>
      <c r="J50" s="120">
        <f t="shared" si="21"/>
        <v>14179182656.72683</v>
      </c>
      <c r="K50" s="120">
        <f t="shared" si="21"/>
        <v>16318802698.123327</v>
      </c>
      <c r="L50" s="120">
        <f t="shared" si="21"/>
        <v>18754512406.53093</v>
      </c>
      <c r="M50" s="120">
        <f t="shared" si="21"/>
        <v>21509877500.469574</v>
      </c>
    </row>
    <row r="51" spans="2:14" ht="13" x14ac:dyDescent="0.15">
      <c r="B51" s="122" t="s">
        <v>342</v>
      </c>
      <c r="C51" s="112"/>
      <c r="D51" s="112" cm="1">
        <f t="array" ref="D51:M51">_xlfn.ANCHORARRAY(D22)</f>
        <v>799800000</v>
      </c>
      <c r="E51" s="112">
        <v>799800000</v>
      </c>
      <c r="F51" s="112">
        <v>799800000</v>
      </c>
      <c r="G51" s="112">
        <v>799800000</v>
      </c>
      <c r="H51" s="112">
        <v>799800000</v>
      </c>
      <c r="I51" s="112">
        <v>799800000</v>
      </c>
      <c r="J51" s="112">
        <v>799800000</v>
      </c>
      <c r="K51" s="112">
        <v>799800000</v>
      </c>
      <c r="L51" s="112">
        <v>799800000</v>
      </c>
      <c r="M51" s="112">
        <v>799800000</v>
      </c>
    </row>
    <row r="52" spans="2:14" ht="13" x14ac:dyDescent="0.15">
      <c r="B52" s="122" t="s">
        <v>343</v>
      </c>
      <c r="C52" s="112"/>
      <c r="D52" s="112" cm="1">
        <f t="array" ref="D52:M52">_xlfn.ANCHORARRAY(D23)</f>
        <v>280000000</v>
      </c>
      <c r="E52" s="112">
        <v>280000000</v>
      </c>
      <c r="F52" s="112">
        <v>280000000</v>
      </c>
      <c r="G52" s="112">
        <v>280000000</v>
      </c>
      <c r="H52" s="112">
        <v>280000000</v>
      </c>
      <c r="I52" s="112">
        <v>280000000</v>
      </c>
      <c r="J52" s="112">
        <v>280000000</v>
      </c>
      <c r="K52" s="112">
        <v>280000000</v>
      </c>
      <c r="L52" s="112">
        <v>280000000</v>
      </c>
      <c r="M52" s="112">
        <v>280000000</v>
      </c>
    </row>
    <row r="53" spans="2:14" s="107" customFormat="1" ht="13" x14ac:dyDescent="0.15">
      <c r="B53" s="124" t="s">
        <v>344</v>
      </c>
      <c r="C53" s="120"/>
      <c r="D53" s="120">
        <f>D50+D51+D52</f>
        <v>2188027518.8502874</v>
      </c>
      <c r="E53" s="120">
        <f t="shared" ref="E53:M53" si="22">E50+E51+E52</f>
        <v>2537526795.588213</v>
      </c>
      <c r="F53" s="120">
        <f t="shared" si="22"/>
        <v>2962511919.1111555</v>
      </c>
      <c r="G53" s="120">
        <f t="shared" si="22"/>
        <v>5682026682.4918194</v>
      </c>
      <c r="H53" s="120">
        <f t="shared" si="22"/>
        <v>6553924429.3232994</v>
      </c>
      <c r="I53" s="120">
        <f t="shared" si="22"/>
        <v>7538568540.2705612</v>
      </c>
      <c r="J53" s="120">
        <f t="shared" si="22"/>
        <v>15258982656.72683</v>
      </c>
      <c r="K53" s="120">
        <f t="shared" si="22"/>
        <v>17398602698.123329</v>
      </c>
      <c r="L53" s="120">
        <f t="shared" si="22"/>
        <v>19834312406.53093</v>
      </c>
      <c r="M53" s="120">
        <f t="shared" si="22"/>
        <v>22589677500.469574</v>
      </c>
    </row>
    <row r="54" spans="2:14" x14ac:dyDescent="0.15">
      <c r="B54" s="124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</row>
    <row r="55" spans="2:14" x14ac:dyDescent="0.15">
      <c r="B55" s="124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</row>
    <row r="56" spans="2:14" ht="13" x14ac:dyDescent="0.15">
      <c r="B56" s="131" t="s">
        <v>337</v>
      </c>
      <c r="C56" s="133" t="s">
        <v>299</v>
      </c>
      <c r="D56" s="133" t="s">
        <v>85</v>
      </c>
      <c r="E56" s="133" t="s">
        <v>86</v>
      </c>
      <c r="F56" s="133" t="s">
        <v>87</v>
      </c>
      <c r="G56" s="133" t="s">
        <v>88</v>
      </c>
      <c r="H56" s="133" t="s">
        <v>89</v>
      </c>
      <c r="I56" s="133" t="s">
        <v>90</v>
      </c>
      <c r="J56" s="133" t="s">
        <v>91</v>
      </c>
      <c r="K56" s="133" t="s">
        <v>92</v>
      </c>
      <c r="L56" s="133" t="s">
        <v>93</v>
      </c>
      <c r="M56" s="133" t="s">
        <v>94</v>
      </c>
      <c r="N56" s="133" t="s">
        <v>305</v>
      </c>
    </row>
    <row r="57" spans="2:14" ht="13" x14ac:dyDescent="0.15">
      <c r="B57" s="122" t="s">
        <v>319</v>
      </c>
      <c r="C57" s="107"/>
      <c r="D57" s="137">
        <f>D31</f>
        <v>2784765413.6158266</v>
      </c>
      <c r="E57" s="137">
        <f t="shared" ref="E57:M57" si="23">E31</f>
        <v>3322456608.5972505</v>
      </c>
      <c r="F57" s="137">
        <f t="shared" si="23"/>
        <v>3976279875.5556235</v>
      </c>
      <c r="G57" s="137">
        <f t="shared" si="23"/>
        <v>8160148742.2951069</v>
      </c>
      <c r="H57" s="137">
        <f t="shared" si="23"/>
        <v>9501529891.266613</v>
      </c>
      <c r="I57" s="137">
        <f t="shared" si="23"/>
        <v>11016366985.031631</v>
      </c>
      <c r="J57" s="137">
        <f t="shared" si="23"/>
        <v>22893927164.195122</v>
      </c>
      <c r="K57" s="137">
        <f t="shared" si="23"/>
        <v>26185650304.805119</v>
      </c>
      <c r="L57" s="137">
        <f t="shared" si="23"/>
        <v>29932896010.047581</v>
      </c>
      <c r="M57" s="137">
        <f t="shared" si="23"/>
        <v>34171919231.49165</v>
      </c>
      <c r="N57" s="107"/>
    </row>
    <row r="58" spans="2:14" ht="13" x14ac:dyDescent="0.15">
      <c r="B58" s="122" t="s">
        <v>340</v>
      </c>
      <c r="C58" s="107"/>
      <c r="D58" s="137">
        <f>D49</f>
        <v>596737894.76553941</v>
      </c>
      <c r="E58" s="137">
        <f t="shared" ref="E58:M58" si="24">E49</f>
        <v>784929813.00903761</v>
      </c>
      <c r="F58" s="137">
        <f t="shared" si="24"/>
        <v>1013767956.4444681</v>
      </c>
      <c r="G58" s="137">
        <f t="shared" si="24"/>
        <v>2478122059.803287</v>
      </c>
      <c r="H58" s="137">
        <f t="shared" si="24"/>
        <v>2947605461.9433146</v>
      </c>
      <c r="I58" s="137">
        <f t="shared" si="24"/>
        <v>3477798444.7610707</v>
      </c>
      <c r="J58" s="137">
        <f t="shared" si="24"/>
        <v>7634944507.4682922</v>
      </c>
      <c r="K58" s="137">
        <f t="shared" si="24"/>
        <v>8787047606.6817913</v>
      </c>
      <c r="L58" s="137">
        <f t="shared" si="24"/>
        <v>10098583603.516653</v>
      </c>
      <c r="M58" s="137">
        <f t="shared" si="24"/>
        <v>11582241731.022078</v>
      </c>
      <c r="N58" s="107"/>
    </row>
    <row r="59" spans="2:14" s="107" customFormat="1" ht="13" x14ac:dyDescent="0.15">
      <c r="B59" s="124" t="s">
        <v>344</v>
      </c>
      <c r="D59" s="138">
        <f>D57-D58</f>
        <v>2188027518.8502874</v>
      </c>
      <c r="E59" s="138">
        <f t="shared" ref="E59:M59" si="25">E57-E58</f>
        <v>2537526795.588213</v>
      </c>
      <c r="F59" s="138">
        <f t="shared" si="25"/>
        <v>2962511919.1111555</v>
      </c>
      <c r="G59" s="138">
        <f t="shared" si="25"/>
        <v>5682026682.4918194</v>
      </c>
      <c r="H59" s="138">
        <f t="shared" si="25"/>
        <v>6553924429.3232985</v>
      </c>
      <c r="I59" s="138">
        <f t="shared" si="25"/>
        <v>7538568540.2705612</v>
      </c>
      <c r="J59" s="138">
        <f t="shared" si="25"/>
        <v>15258982656.72683</v>
      </c>
      <c r="K59" s="138">
        <f t="shared" si="25"/>
        <v>17398602698.123329</v>
      </c>
      <c r="L59" s="138">
        <f t="shared" si="25"/>
        <v>19834312406.53093</v>
      </c>
      <c r="M59" s="138">
        <f t="shared" si="25"/>
        <v>22589677500.469574</v>
      </c>
    </row>
    <row r="60" spans="2:14" ht="13" x14ac:dyDescent="0.15">
      <c r="B60" s="122" t="s">
        <v>345</v>
      </c>
      <c r="C60" s="112"/>
      <c r="D60" s="112">
        <f>-D38</f>
        <v>-311452520.19948483</v>
      </c>
      <c r="E60" s="112">
        <f t="shared" ref="E60:M60" si="26">-E38</f>
        <v>-59135308.022397995</v>
      </c>
      <c r="F60" s="112">
        <f t="shared" si="26"/>
        <v>117685397.29626811</v>
      </c>
      <c r="G60" s="112">
        <f t="shared" si="26"/>
        <v>1180625093.6818905</v>
      </c>
      <c r="H60" s="112">
        <f t="shared" si="26"/>
        <v>389630880.96449602</v>
      </c>
      <c r="I60" s="112">
        <f t="shared" si="26"/>
        <v>430856520.71214914</v>
      </c>
      <c r="J60" s="112">
        <f t="shared" si="26"/>
        <v>3190735371.9523177</v>
      </c>
      <c r="K60" s="112">
        <f t="shared" si="26"/>
        <v>870085448.7331295</v>
      </c>
      <c r="L60" s="112">
        <f t="shared" si="26"/>
        <v>979179345.74668312</v>
      </c>
      <c r="M60" s="112">
        <f t="shared" si="26"/>
        <v>825378486.84619999</v>
      </c>
    </row>
    <row r="61" spans="2:14" s="107" customFormat="1" ht="13" x14ac:dyDescent="0.15">
      <c r="B61" s="124" t="s">
        <v>368</v>
      </c>
      <c r="C61" s="120"/>
      <c r="D61" s="120">
        <f>D59+D60</f>
        <v>1876574998.6508026</v>
      </c>
      <c r="E61" s="120">
        <f>E53+E60</f>
        <v>2478391487.565815</v>
      </c>
      <c r="F61" s="120">
        <f>F53+F60</f>
        <v>3080197316.4074235</v>
      </c>
      <c r="G61" s="120">
        <f>G53+G60</f>
        <v>6862651776.1737099</v>
      </c>
      <c r="H61" s="120">
        <f t="shared" ref="H61:M61" si="27">H53+H60</f>
        <v>6943555310.2877951</v>
      </c>
      <c r="I61" s="120">
        <f t="shared" si="27"/>
        <v>7969425060.9827099</v>
      </c>
      <c r="J61" s="120">
        <f t="shared" si="27"/>
        <v>18449718028.679146</v>
      </c>
      <c r="K61" s="120">
        <f t="shared" si="27"/>
        <v>18268688146.856461</v>
      </c>
      <c r="L61" s="120">
        <f t="shared" si="27"/>
        <v>20813491752.277611</v>
      </c>
      <c r="M61" s="120">
        <f t="shared" si="27"/>
        <v>23415055987.315773</v>
      </c>
    </row>
    <row r="62" spans="2:14" ht="13" x14ac:dyDescent="0.15">
      <c r="B62" s="122" t="s">
        <v>347</v>
      </c>
      <c r="C62" s="112">
        <f>-Datos!C10*1000000</f>
        <v>-14000000000</v>
      </c>
      <c r="D62" s="112">
        <v>0</v>
      </c>
      <c r="E62" s="112">
        <v>0</v>
      </c>
      <c r="F62" s="112">
        <v>0</v>
      </c>
      <c r="G62" s="112">
        <v>0</v>
      </c>
      <c r="H62" s="112">
        <f>-Datos!$C$10*Datos!$C$24*1000000</f>
        <v>-9800000000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</row>
    <row r="63" spans="2:14" s="107" customFormat="1" ht="13" x14ac:dyDescent="0.15">
      <c r="B63" s="124" t="s">
        <v>348</v>
      </c>
      <c r="C63" s="120">
        <f>C61+C62</f>
        <v>-14000000000</v>
      </c>
      <c r="D63" s="120">
        <f>D61+D62</f>
        <v>1876574998.6508026</v>
      </c>
      <c r="E63" s="120">
        <f t="shared" ref="E63:L63" si="28">E61+E62</f>
        <v>2478391487.565815</v>
      </c>
      <c r="F63" s="120">
        <f>F61+F62</f>
        <v>3080197316.4074235</v>
      </c>
      <c r="G63" s="120">
        <f>G61+G62</f>
        <v>6862651776.1737099</v>
      </c>
      <c r="H63" s="120">
        <f>H61+H62</f>
        <v>-2856444689.7122049</v>
      </c>
      <c r="I63" s="120">
        <f t="shared" si="28"/>
        <v>7969425060.9827099</v>
      </c>
      <c r="J63" s="120">
        <f t="shared" si="28"/>
        <v>18449718028.679146</v>
      </c>
      <c r="K63" s="120">
        <f t="shared" si="28"/>
        <v>18268688146.856461</v>
      </c>
      <c r="L63" s="120">
        <f t="shared" si="28"/>
        <v>20813491752.277611</v>
      </c>
      <c r="M63" s="120">
        <f>M61+M62</f>
        <v>23415055987.315773</v>
      </c>
      <c r="N63" s="121">
        <f>P48</f>
        <v>2730000000</v>
      </c>
    </row>
    <row r="64" spans="2:14" x14ac:dyDescent="0.15">
      <c r="B64" s="124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7"/>
    </row>
    <row r="66" spans="2:14" ht="13" x14ac:dyDescent="0.15">
      <c r="B66" s="140" t="s">
        <v>349</v>
      </c>
      <c r="C66" s="141">
        <f>NPV(WACC!B18,'Breakeven Precio'!D63:N63)+'Breakeven Precio'!C63</f>
        <v>12897002824.030399</v>
      </c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7"/>
    </row>
    <row r="67" spans="2:14" ht="13" x14ac:dyDescent="0.15">
      <c r="B67" s="142" t="s">
        <v>350</v>
      </c>
      <c r="C67" s="143">
        <f>MIRR(C63:N63,WACC!B18,WACC!B18)</f>
        <v>0.27328727038518763</v>
      </c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7"/>
    </row>
    <row r="68" spans="2:14" s="107" customFormat="1" ht="13" x14ac:dyDescent="0.15">
      <c r="B68" s="142" t="s">
        <v>351</v>
      </c>
      <c r="C68" s="144">
        <v>0</v>
      </c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1"/>
    </row>
    <row r="69" spans="2:14" ht="13" x14ac:dyDescent="0.15">
      <c r="B69" s="145" t="s">
        <v>352</v>
      </c>
      <c r="C69" s="146"/>
      <c r="D69" s="139">
        <f>1/(1+WACC!$B$18)^'Breakeven Precio'!D2</f>
        <v>0.83064215415478371</v>
      </c>
      <c r="E69" s="139">
        <f>1/(1+WACC!$B$18)^'Breakeven Precio'!E2</f>
        <v>0.68996638825889933</v>
      </c>
      <c r="F69" s="139">
        <f>1/(1+WACC!$B$18)^'Breakeven Precio'!F2</f>
        <v>0.57311516703776799</v>
      </c>
      <c r="G69" s="139">
        <f>1/(1+WACC!$B$18)^'Breakeven Precio'!G2</f>
        <v>0.47605361692703024</v>
      </c>
      <c r="H69" s="139">
        <f>1/(1+WACC!$B$18)^'Breakeven Precio'!H2</f>
        <v>0.3954302018574446</v>
      </c>
      <c r="I69" s="139">
        <f>1/(1+WACC!$B$18)^'Breakeven Precio'!I2</f>
        <v>0.32846099468872869</v>
      </c>
      <c r="J69" s="139">
        <f>1/(1+WACC!$B$18)^'Breakeven Precio'!J2</f>
        <v>0.27283354818406858</v>
      </c>
      <c r="K69" s="139">
        <f>1/(1+WACC!$B$18)^'Breakeven Precio'!K2</f>
        <v>0.22662704618930768</v>
      </c>
      <c r="L69" s="139">
        <f>1/(1+WACC!$B$18)^'Breakeven Precio'!L2</f>
        <v>0.18824597783642219</v>
      </c>
      <c r="M69" s="139">
        <f>1/(1+WACC!$B$18)^'Breakeven Precio'!M2</f>
        <v>0.15636504454101938</v>
      </c>
      <c r="N69" s="139">
        <f>1/(1+WACC!$B$18)^11</f>
        <v>0.12988339743206104</v>
      </c>
    </row>
    <row r="70" spans="2:14" s="107" customFormat="1" ht="13" x14ac:dyDescent="0.15">
      <c r="B70" s="145" t="s">
        <v>353</v>
      </c>
      <c r="C70" s="146"/>
      <c r="D70" s="112">
        <f>D63*D69</f>
        <v>1558762299.3123131</v>
      </c>
      <c r="E70" s="112">
        <f t="shared" ref="E70:N70" si="29">E63*E69</f>
        <v>1710006823.3673861</v>
      </c>
      <c r="F70" s="112">
        <f t="shared" si="29"/>
        <v>1765307799.5021253</v>
      </c>
      <c r="G70" s="112">
        <f t="shared" si="29"/>
        <v>3266990199.758203</v>
      </c>
      <c r="H70" s="112">
        <f t="shared" si="29"/>
        <v>-1129524500.2475228</v>
      </c>
      <c r="I70" s="112">
        <f t="shared" si="29"/>
        <v>2617645282.6276631</v>
      </c>
      <c r="J70" s="112">
        <f t="shared" si="29"/>
        <v>5033702032.7601109</v>
      </c>
      <c r="K70" s="112">
        <f t="shared" si="29"/>
        <v>4140178832.475697</v>
      </c>
      <c r="L70" s="112">
        <f t="shared" si="29"/>
        <v>3918056107.0978074</v>
      </c>
      <c r="M70" s="112">
        <f t="shared" si="29"/>
        <v>3661296272.3870931</v>
      </c>
      <c r="N70" s="112">
        <f t="shared" si="29"/>
        <v>354581674.98952663</v>
      </c>
    </row>
    <row r="71" spans="2:14" s="107" customFormat="1" ht="13" x14ac:dyDescent="0.15">
      <c r="B71" s="147" t="s">
        <v>354</v>
      </c>
      <c r="C71" s="148">
        <f>ABS(SUM(D70:N70)/C63)</f>
        <v>1.9212144874307431</v>
      </c>
      <c r="D71" s="120"/>
      <c r="E71" s="120"/>
      <c r="F71" s="120"/>
      <c r="G71" s="120"/>
      <c r="H71" s="120"/>
      <c r="I71" s="120"/>
      <c r="J71" s="120"/>
      <c r="K71" s="120"/>
      <c r="L71" s="120"/>
      <c r="M71" s="120"/>
    </row>
    <row r="74" spans="2:14" ht="13" x14ac:dyDescent="0.15">
      <c r="B74" s="122" t="s">
        <v>355</v>
      </c>
      <c r="D74" s="116">
        <f t="shared" ref="D74:M74" si="30">D50/D44</f>
        <v>8.202013167475429E-2</v>
      </c>
      <c r="E74" s="116">
        <f t="shared" si="30"/>
        <v>0.11414362108832844</v>
      </c>
      <c r="F74" s="116">
        <f t="shared" si="30"/>
        <v>0.15883169806412556</v>
      </c>
      <c r="G74" s="116">
        <f t="shared" si="30"/>
        <v>0.46613902892577025</v>
      </c>
      <c r="H74" s="116">
        <f t="shared" si="30"/>
        <v>0.63039466851680814</v>
      </c>
      <c r="I74" s="116">
        <f t="shared" si="30"/>
        <v>0.86660100122342776</v>
      </c>
      <c r="J74" s="116">
        <f t="shared" si="30"/>
        <v>4.0951245413380768</v>
      </c>
      <c r="K74" s="116">
        <f t="shared" si="30"/>
        <v>9.1035835453412357</v>
      </c>
      <c r="L74" s="116">
        <f t="shared" si="30"/>
        <v>1380.0464320103906</v>
      </c>
      <c r="M74" s="116">
        <f t="shared" si="30"/>
        <v>-13.347001790269113</v>
      </c>
    </row>
    <row r="75" spans="2:14" ht="13" x14ac:dyDescent="0.15">
      <c r="B75" s="122" t="s">
        <v>356</v>
      </c>
      <c r="D75" s="116">
        <f t="shared" ref="D75:M75" si="31">D19/D15</f>
        <v>0.7087980511545543</v>
      </c>
      <c r="E75" s="116">
        <f t="shared" si="31"/>
        <v>0.71829263318361658</v>
      </c>
      <c r="F75" s="116">
        <f t="shared" si="31"/>
        <v>0.72739602527155078</v>
      </c>
      <c r="G75" s="116">
        <f t="shared" si="31"/>
        <v>0.74474744791153669</v>
      </c>
      <c r="H75" s="116">
        <f t="shared" si="31"/>
        <v>0.75262952897630309</v>
      </c>
      <c r="I75" s="116">
        <f t="shared" si="31"/>
        <v>0.76019575522809968</v>
      </c>
      <c r="J75" s="116">
        <f t="shared" si="31"/>
        <v>0.77325084661597221</v>
      </c>
      <c r="K75" s="116">
        <f t="shared" si="31"/>
        <v>0.77989586443375603</v>
      </c>
      <c r="L75" s="116">
        <f t="shared" si="31"/>
        <v>0.78628084850237334</v>
      </c>
      <c r="M75" s="116">
        <f t="shared" si="31"/>
        <v>0.79241613660631072</v>
      </c>
    </row>
    <row r="76" spans="2:14" ht="13" x14ac:dyDescent="0.15">
      <c r="B76" s="122" t="s">
        <v>357</v>
      </c>
      <c r="D76" s="116">
        <f t="shared" ref="D76:M76" si="32">D25/D15</f>
        <v>0.17509397974353896</v>
      </c>
      <c r="E76" s="116">
        <f t="shared" si="32"/>
        <v>0.20528760328783785</v>
      </c>
      <c r="F76" s="116">
        <f t="shared" si="32"/>
        <v>0.23411579490539022</v>
      </c>
      <c r="G76" s="116">
        <f t="shared" si="32"/>
        <v>0.33770851307717953</v>
      </c>
      <c r="H76" s="116">
        <f t="shared" si="32"/>
        <v>0.35625719405252576</v>
      </c>
      <c r="I76" s="116">
        <f t="shared" si="32"/>
        <v>0.37348276417762305</v>
      </c>
      <c r="J76" s="116">
        <f t="shared" si="32"/>
        <v>0.43845655080397794</v>
      </c>
      <c r="K76" s="116">
        <f t="shared" si="32"/>
        <v>0.44989436752452061</v>
      </c>
      <c r="L76" s="116">
        <f t="shared" si="32"/>
        <v>0.46068942582279493</v>
      </c>
      <c r="M76" s="116">
        <f t="shared" si="32"/>
        <v>0.47087176406505388</v>
      </c>
    </row>
    <row r="77" spans="2:14" ht="13" x14ac:dyDescent="0.15">
      <c r="B77" s="122" t="s">
        <v>358</v>
      </c>
      <c r="D77" s="116">
        <f t="shared" ref="D77:M77" si="33">D31/D15</f>
        <v>0.28598565990150077</v>
      </c>
      <c r="E77" s="116">
        <f t="shared" si="33"/>
        <v>0.30412999992601886</v>
      </c>
      <c r="F77" s="116">
        <f t="shared" si="33"/>
        <v>0.32139354106626999</v>
      </c>
      <c r="G77" s="116">
        <f t="shared" si="33"/>
        <v>0.38921129432330981</v>
      </c>
      <c r="H77" s="116">
        <f t="shared" si="33"/>
        <v>0.40193504445910783</v>
      </c>
      <c r="I77" s="116">
        <f t="shared" si="33"/>
        <v>0.4140688830420664</v>
      </c>
      <c r="J77" s="116">
        <f t="shared" si="33"/>
        <v>0.46016016424651945</v>
      </c>
      <c r="K77" s="116">
        <f t="shared" si="33"/>
        <v>0.46924427729276291</v>
      </c>
      <c r="L77" s="116">
        <f t="shared" si="33"/>
        <v>0.47793029459577602</v>
      </c>
      <c r="M77" s="116">
        <f t="shared" si="33"/>
        <v>0.48623636876989818</v>
      </c>
    </row>
    <row r="78" spans="2:14" ht="13" x14ac:dyDescent="0.15">
      <c r="B78" s="122" t="s">
        <v>369</v>
      </c>
      <c r="D78" s="116">
        <f t="shared" ref="D78:M78" si="34">D37/D15</f>
        <v>3.1985083584323407E-2</v>
      </c>
      <c r="E78" s="116">
        <f t="shared" si="34"/>
        <v>3.3922753386172844E-2</v>
      </c>
      <c r="F78" s="116">
        <f t="shared" si="34"/>
        <v>2.0441520809219516E-2</v>
      </c>
      <c r="G78" s="116">
        <f t="shared" si="34"/>
        <v>-4.4249210369525796E-2</v>
      </c>
      <c r="H78" s="116">
        <f t="shared" si="34"/>
        <v>-5.5726873590163206E-2</v>
      </c>
      <c r="I78" s="116">
        <f t="shared" si="34"/>
        <v>-6.5709447559817294E-2</v>
      </c>
      <c r="J78" s="116">
        <f t="shared" si="34"/>
        <v>-9.9271126657816039E-2</v>
      </c>
      <c r="K78" s="116">
        <f t="shared" si="34"/>
        <v>-0.10409726196330163</v>
      </c>
      <c r="L78" s="116">
        <f t="shared" si="34"/>
        <v>-0.10838548045355795</v>
      </c>
      <c r="M78" s="116">
        <f t="shared" si="34"/>
        <v>-0.10833467404417094</v>
      </c>
    </row>
    <row r="80" spans="2:14" ht="13" x14ac:dyDescent="0.15">
      <c r="B80" s="122" t="s">
        <v>360</v>
      </c>
      <c r="D80" s="118">
        <f>D77/D78</f>
        <v>8.9412197141066283</v>
      </c>
      <c r="E80" s="118">
        <f t="shared" ref="E80:M80" si="35">E77/E78</f>
        <v>8.9653689505635601</v>
      </c>
      <c r="F80" s="118">
        <f t="shared" si="35"/>
        <v>15.722584638678908</v>
      </c>
      <c r="G80" s="118">
        <f t="shared" si="35"/>
        <v>-8.7958924254919051</v>
      </c>
      <c r="H80" s="118">
        <f t="shared" si="35"/>
        <v>-7.2125891614715769</v>
      </c>
      <c r="I80" s="118">
        <f t="shared" si="35"/>
        <v>-6.3015121633023474</v>
      </c>
      <c r="J80" s="118">
        <f t="shared" si="35"/>
        <v>-4.6353877480677212</v>
      </c>
      <c r="K80" s="118">
        <f t="shared" si="35"/>
        <v>-4.5077485079116677</v>
      </c>
      <c r="L80" s="118">
        <f t="shared" si="35"/>
        <v>-4.4095416894937713</v>
      </c>
      <c r="M80" s="118">
        <f t="shared" si="35"/>
        <v>-4.4882801656988107</v>
      </c>
    </row>
    <row r="81" spans="2:13" ht="13" x14ac:dyDescent="0.15">
      <c r="B81" s="122" t="s">
        <v>361</v>
      </c>
      <c r="D81" s="119">
        <f>(D74-WACC!$B$18)*'Breakeven Precio'!D44</f>
        <v>-1646634310.860882</v>
      </c>
      <c r="E81" s="119">
        <f>(E74-WACC!$B$18)*'Breakeven Precio'!E44</f>
        <v>-1146122499.905287</v>
      </c>
      <c r="F81" s="119">
        <f>(F74-WACC!$B$18)*'Breakeven Precio'!F44</f>
        <v>-534073248.10119808</v>
      </c>
      <c r="G81" s="119">
        <f>(G74-WACC!$B$18)*'Breakeven Precio'!G44</f>
        <v>2589226136.666832</v>
      </c>
      <c r="H81" s="119">
        <f>(H74-WACC!$B$18)*'Breakeven Precio'!H44</f>
        <v>3703634392.716207</v>
      </c>
      <c r="I81" s="119">
        <f>(I74-WACC!$B$18)*'Breakeven Precio'!I44</f>
        <v>4939194420.079072</v>
      </c>
      <c r="J81" s="119">
        <f>(J74-WACC!$B$18)*'Breakeven Precio'!J44</f>
        <v>13473230227.876867</v>
      </c>
      <c r="K81" s="119">
        <f>(K74-WACC!$B$18)*'Breakeven Precio'!K44</f>
        <v>15953319629.02249</v>
      </c>
      <c r="L81" s="119">
        <f>(L74-WACC!$B$18)*'Breakeven Precio'!L44</f>
        <v>18751741617.672314</v>
      </c>
      <c r="M81" s="119">
        <f>(M74-WACC!$B$18)*'Breakeven Precio'!M44</f>
        <v>21838460864.864025</v>
      </c>
    </row>
    <row r="86" spans="2:13" ht="13" x14ac:dyDescent="0.15">
      <c r="B86" s="122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Datos</vt:lpstr>
      <vt:lpstr>Nómina</vt:lpstr>
      <vt:lpstr>Costo de oportunidad</vt:lpstr>
      <vt:lpstr>Costos hundidos</vt:lpstr>
      <vt:lpstr>Tasas de banco</vt:lpstr>
      <vt:lpstr>Inflación</vt:lpstr>
      <vt:lpstr>Bancos</vt:lpstr>
      <vt:lpstr>WACC</vt:lpstr>
      <vt:lpstr>Depreciaciones</vt:lpstr>
      <vt:lpstr>Amortización gasto seguro</vt:lpstr>
      <vt:lpstr>Estado de resultados</vt:lpstr>
      <vt:lpstr>Breakeven Precio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Armendáriz</dc:creator>
  <cp:keywords/>
  <dc:description/>
  <cp:lastModifiedBy>David Armendáriz</cp:lastModifiedBy>
  <cp:revision/>
  <dcterms:created xsi:type="dcterms:W3CDTF">2026-06-13T19:27:41Z</dcterms:created>
  <dcterms:modified xsi:type="dcterms:W3CDTF">2026-06-19T05:27:28Z</dcterms:modified>
  <cp:category/>
  <cp:contentStatus/>
</cp:coreProperties>
</file>