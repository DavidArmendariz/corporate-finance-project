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armendariz/finanzas-corporativas/"/>
    </mc:Choice>
  </mc:AlternateContent>
  <xr:revisionPtr revIDLastSave="0" documentId="13_ncr:1_{B1DD3DD0-5599-1D4C-8C48-FAE5D250791B}" xr6:coauthVersionLast="47" xr6:coauthVersionMax="47" xr10:uidLastSave="{00000000-0000-0000-0000-000000000000}"/>
  <bookViews>
    <workbookView xWindow="-2840" yWindow="-21000" windowWidth="38400" windowHeight="21000" activeTab="10" xr2:uid="{4A5FEAB5-AF17-D144-BB0B-4790A386B114}"/>
  </bookViews>
  <sheets>
    <sheet name="Datos" sheetId="2" r:id="rId1"/>
    <sheet name="Nómina" sheetId="1" r:id="rId2"/>
    <sheet name="Costo de oportunidad" sheetId="12" r:id="rId3"/>
    <sheet name="Costos hundidos" sheetId="9" r:id="rId4"/>
    <sheet name="Tasas de banco" sheetId="14" state="hidden" r:id="rId5"/>
    <sheet name="Inflación" sheetId="16" r:id="rId6"/>
    <sheet name="Bancos" sheetId="15" r:id="rId7"/>
    <sheet name="WACC" sheetId="13" r:id="rId8"/>
    <sheet name="Depreciaciones" sheetId="8" r:id="rId9"/>
    <sheet name="Amortización" sheetId="10" r:id="rId10"/>
    <sheet name="Estado de resultados" sheetId="20" r:id="rId11"/>
  </sheets>
  <definedNames>
    <definedName name="solver_adj" localSheetId="7" hidden="1">WACC!$B$20:$B$21</definedName>
    <definedName name="solver_cvg" localSheetId="7" hidden="1">0.0001</definedName>
    <definedName name="solver_drv" localSheetId="7" hidden="1">1</definedName>
    <definedName name="solver_eng" localSheetId="7" hidden="1">1</definedName>
    <definedName name="solver_itr" localSheetId="7" hidden="1">2147483647</definedName>
    <definedName name="solver_lhs1" localSheetId="7" hidden="1">WACC!$B$22</definedName>
    <definedName name="solver_lin" localSheetId="7" hidden="1">2</definedName>
    <definedName name="solver_mip" localSheetId="7" hidden="1">2147483647</definedName>
    <definedName name="solver_mni" localSheetId="7" hidden="1">30</definedName>
    <definedName name="solver_mrt" localSheetId="7" hidden="1">0.075</definedName>
    <definedName name="solver_msl" localSheetId="7" hidden="1">2</definedName>
    <definedName name="solver_neg" localSheetId="7" hidden="1">1</definedName>
    <definedName name="solver_nod" localSheetId="7" hidden="1">2147483647</definedName>
    <definedName name="solver_num" localSheetId="7" hidden="1">1</definedName>
    <definedName name="solver_opt" localSheetId="7" hidden="1">WACC!$B$23</definedName>
    <definedName name="solver_pre" localSheetId="7" hidden="1">0.000001</definedName>
    <definedName name="solver_rbv" localSheetId="7" hidden="1">1</definedName>
    <definedName name="solver_rel1" localSheetId="7" hidden="1">2</definedName>
    <definedName name="solver_rhs1" localSheetId="7" hidden="1">1</definedName>
    <definedName name="solver_rlx" localSheetId="7" hidden="1">1</definedName>
    <definedName name="solver_rsd" localSheetId="7" hidden="1">0</definedName>
    <definedName name="solver_scl" localSheetId="7" hidden="1">2</definedName>
    <definedName name="solver_sho" localSheetId="7" hidden="1">2</definedName>
    <definedName name="solver_ssz" localSheetId="7" hidden="1">100</definedName>
    <definedName name="solver_tim" localSheetId="7" hidden="1">2147483647</definedName>
    <definedName name="solver_tol" localSheetId="7" hidden="1">0.01</definedName>
    <definedName name="solver_typ" localSheetId="7" hidden="1">2</definedName>
    <definedName name="solver_val" localSheetId="7" hidden="1">0</definedName>
    <definedName name="solver_ver" localSheetId="7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6" i="20" l="1"/>
  <c r="D58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D26" i="20" a="1"/>
  <c r="B16" i="12"/>
  <c r="C10" i="12"/>
  <c r="D26" i="20" l="1"/>
  <c r="D20" i="20"/>
  <c r="E20" i="20" s="1"/>
  <c r="F20" i="20" s="1"/>
  <c r="G20" i="20" s="1"/>
  <c r="H20" i="20" s="1"/>
  <c r="I20" i="20" s="1"/>
  <c r="J20" i="20" s="1"/>
  <c r="K20" i="20" s="1"/>
  <c r="L20" i="20" s="1"/>
  <c r="M20" i="20" s="1"/>
  <c r="D17" i="20"/>
  <c r="E17" i="20" s="1"/>
  <c r="F17" i="20" s="1"/>
  <c r="G17" i="20" s="1"/>
  <c r="H17" i="20" s="1"/>
  <c r="I17" i="20" s="1"/>
  <c r="J17" i="20" s="1"/>
  <c r="K17" i="20" s="1"/>
  <c r="L17" i="20" s="1"/>
  <c r="M17" i="20" s="1"/>
  <c r="D9" i="20"/>
  <c r="D16" i="20" s="1"/>
  <c r="D35" i="20" s="1"/>
  <c r="D8" i="20"/>
  <c r="E8" i="20" l="1"/>
  <c r="E9" i="20"/>
  <c r="E16" i="20" s="1"/>
  <c r="E35" i="20" s="1"/>
  <c r="F8" i="20"/>
  <c r="E15" i="20"/>
  <c r="E21" i="20" s="1"/>
  <c r="D15" i="20"/>
  <c r="F9" i="20" l="1"/>
  <c r="F16" i="20" s="1"/>
  <c r="F35" i="20" s="1"/>
  <c r="D33" i="20"/>
  <c r="D18" i="20"/>
  <c r="D19" i="20" s="1"/>
  <c r="D75" i="20" s="1"/>
  <c r="D24" i="20"/>
  <c r="D21" i="20"/>
  <c r="A15" i="20"/>
  <c r="A35" i="20"/>
  <c r="E33" i="20"/>
  <c r="E34" i="20" s="1"/>
  <c r="E24" i="20"/>
  <c r="E18" i="20"/>
  <c r="E19" i="20" s="1"/>
  <c r="F15" i="20"/>
  <c r="G8" i="20"/>
  <c r="G9" i="20" l="1"/>
  <c r="H9" i="20" s="1"/>
  <c r="E75" i="20"/>
  <c r="G15" i="20"/>
  <c r="H8" i="20"/>
  <c r="F24" i="20"/>
  <c r="F21" i="20"/>
  <c r="F18" i="20"/>
  <c r="F19" i="20" s="1"/>
  <c r="F33" i="20"/>
  <c r="F34" i="20" s="1"/>
  <c r="A33" i="20"/>
  <c r="D34" i="20"/>
  <c r="G16" i="20" l="1"/>
  <c r="G35" i="20" s="1"/>
  <c r="F75" i="20"/>
  <c r="G24" i="20"/>
  <c r="G21" i="20"/>
  <c r="G18" i="20"/>
  <c r="G33" i="20"/>
  <c r="G34" i="20" s="1"/>
  <c r="H15" i="20"/>
  <c r="I8" i="20"/>
  <c r="I9" i="20"/>
  <c r="H16" i="20"/>
  <c r="H35" i="20" s="1"/>
  <c r="G19" i="20" l="1"/>
  <c r="G75" i="20" s="1"/>
  <c r="I15" i="20"/>
  <c r="J8" i="20"/>
  <c r="J9" i="20"/>
  <c r="I16" i="20"/>
  <c r="I35" i="20" s="1"/>
  <c r="H24" i="20"/>
  <c r="H21" i="20"/>
  <c r="H18" i="20"/>
  <c r="H19" i="20" s="1"/>
  <c r="H33" i="20"/>
  <c r="H34" i="20" s="1"/>
  <c r="H75" i="20" l="1"/>
  <c r="K8" i="20"/>
  <c r="J15" i="20"/>
  <c r="I24" i="20"/>
  <c r="I21" i="20"/>
  <c r="I18" i="20"/>
  <c r="I19" i="20" s="1"/>
  <c r="I33" i="20"/>
  <c r="I34" i="20" s="1"/>
  <c r="K9" i="20"/>
  <c r="J16" i="20"/>
  <c r="J35" i="20" s="1"/>
  <c r="I75" i="20" l="1"/>
  <c r="J18" i="20"/>
  <c r="J19" i="20" s="1"/>
  <c r="J33" i="20"/>
  <c r="J34" i="20" s="1"/>
  <c r="J24" i="20"/>
  <c r="J21" i="20"/>
  <c r="L9" i="20"/>
  <c r="K16" i="20"/>
  <c r="K35" i="20" s="1"/>
  <c r="L8" i="20"/>
  <c r="K15" i="20"/>
  <c r="K33" i="20" l="1"/>
  <c r="K34" i="20" s="1"/>
  <c r="K21" i="20"/>
  <c r="K24" i="20"/>
  <c r="K18" i="20"/>
  <c r="K19" i="20" s="1"/>
  <c r="J75" i="20"/>
  <c r="M8" i="20"/>
  <c r="M15" i="20" s="1"/>
  <c r="L15" i="20"/>
  <c r="L16" i="20"/>
  <c r="L35" i="20" s="1"/>
  <c r="M9" i="20"/>
  <c r="M16" i="20" s="1"/>
  <c r="M35" i="20" s="1"/>
  <c r="L33" i="20" l="1"/>
  <c r="L34" i="20" s="1"/>
  <c r="L18" i="20"/>
  <c r="L19" i="20" s="1"/>
  <c r="L24" i="20"/>
  <c r="L21" i="20"/>
  <c r="K75" i="20"/>
  <c r="M33" i="20"/>
  <c r="M34" i="20" s="1"/>
  <c r="M24" i="20"/>
  <c r="M21" i="20"/>
  <c r="M18" i="20"/>
  <c r="M19" i="20" s="1"/>
  <c r="L75" i="20" l="1"/>
  <c r="M75" i="20"/>
  <c r="E7" i="2" l="1"/>
  <c r="B2" i="8"/>
  <c r="H4" i="1"/>
  <c r="H3" i="1"/>
  <c r="D18" i="1"/>
  <c r="D20" i="16" l="1"/>
  <c r="C19" i="16"/>
  <c r="D19" i="16" s="1"/>
  <c r="D18" i="16"/>
  <c r="C17" i="16"/>
  <c r="D17" i="16" s="1"/>
  <c r="D16" i="16"/>
  <c r="C15" i="16"/>
  <c r="D15" i="16" s="1"/>
  <c r="D14" i="16"/>
  <c r="D13" i="16"/>
  <c r="C13" i="16"/>
  <c r="D12" i="16"/>
  <c r="B9" i="13"/>
  <c r="K13" i="12"/>
  <c r="J13" i="12"/>
  <c r="I13" i="12"/>
  <c r="H13" i="12"/>
  <c r="G13" i="12"/>
  <c r="F13" i="12"/>
  <c r="E13" i="12"/>
  <c r="D13" i="12"/>
  <c r="B13" i="12"/>
  <c r="C13" i="12"/>
  <c r="C19" i="2"/>
  <c r="B10" i="12" s="1"/>
  <c r="B11" i="12" l="1"/>
  <c r="B12" i="12" s="1"/>
  <c r="B14" i="12" s="1"/>
  <c r="B22" i="13"/>
  <c r="B6" i="13"/>
  <c r="C15" i="2"/>
  <c r="E20" i="15"/>
  <c r="E21" i="15"/>
  <c r="E22" i="15"/>
  <c r="E23" i="15"/>
  <c r="B6" i="15"/>
  <c r="B14" i="13"/>
  <c r="B12" i="13"/>
  <c r="B3" i="13"/>
  <c r="E46" i="14"/>
  <c r="E16" i="14"/>
  <c r="B35" i="14"/>
  <c r="E14" i="14"/>
  <c r="B47" i="14"/>
  <c r="D8" i="1"/>
  <c r="D3" i="1"/>
  <c r="C10" i="2"/>
  <c r="B6" i="8"/>
  <c r="C6" i="8"/>
  <c r="D6" i="8"/>
  <c r="E6" i="8"/>
  <c r="F6" i="8"/>
  <c r="G6" i="8"/>
  <c r="H6" i="8"/>
  <c r="I6" i="8"/>
  <c r="J6" i="8"/>
  <c r="K6" i="8"/>
  <c r="B5" i="8"/>
  <c r="C5" i="8"/>
  <c r="D5" i="8"/>
  <c r="E5" i="8"/>
  <c r="F5" i="8"/>
  <c r="G5" i="8"/>
  <c r="H5" i="8"/>
  <c r="I5" i="8"/>
  <c r="J5" i="8"/>
  <c r="K5" i="8"/>
  <c r="D4" i="1"/>
  <c r="D5" i="1"/>
  <c r="D6" i="1"/>
  <c r="D7" i="1"/>
  <c r="D9" i="1"/>
  <c r="D10" i="1"/>
  <c r="D11" i="1"/>
  <c r="D12" i="1"/>
  <c r="D13" i="1"/>
  <c r="D14" i="1"/>
  <c r="D15" i="1"/>
  <c r="D16" i="1"/>
  <c r="D17" i="1"/>
  <c r="C2" i="8"/>
  <c r="D2" i="8"/>
  <c r="E2" i="8"/>
  <c r="F2" i="8"/>
  <c r="G2" i="8"/>
  <c r="H2" i="8"/>
  <c r="I2" i="8"/>
  <c r="J2" i="8"/>
  <c r="K2" i="8"/>
  <c r="E6" i="2"/>
  <c r="I3" i="8" s="1"/>
  <c r="C6" i="9"/>
  <c r="C18" i="1"/>
  <c r="B18" i="1"/>
  <c r="C62" i="20" l="1"/>
  <c r="C63" i="20" s="1"/>
  <c r="P47" i="20"/>
  <c r="P41" i="20"/>
  <c r="C40" i="20"/>
  <c r="D40" i="20" s="1"/>
  <c r="E40" i="20" s="1"/>
  <c r="F40" i="20" s="1"/>
  <c r="G40" i="20" s="1"/>
  <c r="H40" i="20" s="1"/>
  <c r="I40" i="20" s="1"/>
  <c r="J40" i="20" s="1"/>
  <c r="K40" i="20" s="1"/>
  <c r="L40" i="20" s="1"/>
  <c r="M40" i="20" s="1"/>
  <c r="H62" i="20"/>
  <c r="B2" i="10"/>
  <c r="C2" i="10"/>
  <c r="D2" i="10"/>
  <c r="E2" i="10"/>
  <c r="F2" i="10"/>
  <c r="H3" i="10"/>
  <c r="H4" i="10" s="1"/>
  <c r="I3" i="10"/>
  <c r="I4" i="10" s="1"/>
  <c r="J3" i="10"/>
  <c r="J4" i="10" s="1"/>
  <c r="G3" i="10"/>
  <c r="G4" i="10" s="1"/>
  <c r="K3" i="10"/>
  <c r="D10" i="12"/>
  <c r="C11" i="12"/>
  <c r="C12" i="12" s="1"/>
  <c r="C14" i="12" s="1"/>
  <c r="E10" i="12"/>
  <c r="B7" i="13"/>
  <c r="B10" i="13" s="1"/>
  <c r="B15" i="13" s="1"/>
  <c r="B16" i="13" s="1"/>
  <c r="B12" i="15"/>
  <c r="B7" i="15"/>
  <c r="B8" i="15" s="1"/>
  <c r="B9" i="15" s="1"/>
  <c r="B10" i="15" s="1"/>
  <c r="B28" i="14"/>
  <c r="K20" i="15"/>
  <c r="B4" i="8"/>
  <c r="E15" i="14"/>
  <c r="E17" i="14" s="1"/>
  <c r="C35" i="14" s="1"/>
  <c r="F46" i="14"/>
  <c r="B48" i="14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J3" i="8"/>
  <c r="G4" i="8"/>
  <c r="H3" i="8"/>
  <c r="C4" i="8"/>
  <c r="D4" i="8"/>
  <c r="E4" i="8"/>
  <c r="F4" i="8"/>
  <c r="H4" i="8"/>
  <c r="J4" i="8"/>
  <c r="K4" i="8"/>
  <c r="I4" i="8"/>
  <c r="C3" i="8"/>
  <c r="E3" i="8"/>
  <c r="B3" i="8"/>
  <c r="B7" i="8" s="1"/>
  <c r="D3" i="8"/>
  <c r="F3" i="8"/>
  <c r="K3" i="8"/>
  <c r="G3" i="8"/>
  <c r="B18" i="13" l="1"/>
  <c r="B16" i="15"/>
  <c r="G69" i="20"/>
  <c r="H69" i="20"/>
  <c r="K69" i="20"/>
  <c r="E69" i="20"/>
  <c r="L69" i="20"/>
  <c r="I69" i="20"/>
  <c r="N69" i="20"/>
  <c r="J69" i="20"/>
  <c r="M69" i="20"/>
  <c r="D69" i="20"/>
  <c r="F69" i="20"/>
  <c r="B23" i="13"/>
  <c r="K4" i="10"/>
  <c r="D11" i="12"/>
  <c r="D12" i="12" s="1"/>
  <c r="D14" i="12" s="1"/>
  <c r="F10" i="12"/>
  <c r="E11" i="12"/>
  <c r="E12" i="12" s="1"/>
  <c r="E14" i="12" s="1"/>
  <c r="B14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K43" i="15"/>
  <c r="E43" i="15"/>
  <c r="K42" i="15"/>
  <c r="E42" i="15"/>
  <c r="K41" i="15"/>
  <c r="E41" i="15"/>
  <c r="K40" i="15"/>
  <c r="E40" i="15"/>
  <c r="K39" i="15"/>
  <c r="E39" i="15"/>
  <c r="K38" i="15"/>
  <c r="E38" i="15"/>
  <c r="K37" i="15"/>
  <c r="E37" i="15"/>
  <c r="K36" i="15"/>
  <c r="E36" i="15"/>
  <c r="K35" i="15"/>
  <c r="E35" i="15"/>
  <c r="K34" i="15"/>
  <c r="E34" i="15"/>
  <c r="E33" i="15"/>
  <c r="E32" i="15"/>
  <c r="E31" i="15"/>
  <c r="E30" i="15"/>
  <c r="E29" i="15"/>
  <c r="E28" i="15"/>
  <c r="E27" i="15"/>
  <c r="E26" i="15"/>
  <c r="E25" i="15"/>
  <c r="E24" i="15"/>
  <c r="C20" i="15"/>
  <c r="B30" i="14"/>
  <c r="C46" i="14" s="1"/>
  <c r="G46" i="14" s="1"/>
  <c r="C7" i="8"/>
  <c r="E7" i="8"/>
  <c r="G47" i="14"/>
  <c r="F4" i="10"/>
  <c r="D4" i="10"/>
  <c r="C4" i="10"/>
  <c r="E4" i="10"/>
  <c r="B4" i="10"/>
  <c r="G7" i="8"/>
  <c r="F7" i="8"/>
  <c r="D7" i="8"/>
  <c r="H7" i="8"/>
  <c r="I7" i="8"/>
  <c r="J7" i="8"/>
  <c r="K7" i="8"/>
  <c r="D23" i="20" l="1" a="1"/>
  <c r="D22" i="20" a="1"/>
  <c r="F11" i="12"/>
  <c r="F12" i="12" s="1"/>
  <c r="F14" i="12" s="1"/>
  <c r="G10" i="12"/>
  <c r="K29" i="15"/>
  <c r="K28" i="15"/>
  <c r="K27" i="15"/>
  <c r="K26" i="15"/>
  <c r="K25" i="15"/>
  <c r="K24" i="15"/>
  <c r="K23" i="15"/>
  <c r="K22" i="15"/>
  <c r="K21" i="15"/>
  <c r="E60" i="15"/>
  <c r="B64" i="15" s="1"/>
  <c r="D20" i="15"/>
  <c r="G20" i="15"/>
  <c r="C21" i="15" s="1"/>
  <c r="B15" i="15"/>
  <c r="K44" i="15"/>
  <c r="G48" i="14"/>
  <c r="K41" i="20" l="1"/>
  <c r="G41" i="20"/>
  <c r="E41" i="20"/>
  <c r="M41" i="20"/>
  <c r="L41" i="20"/>
  <c r="F41" i="20"/>
  <c r="H41" i="20"/>
  <c r="I41" i="20"/>
  <c r="D22" i="20"/>
  <c r="J41" i="20"/>
  <c r="D51" i="20" a="1"/>
  <c r="D51" i="20" s="1"/>
  <c r="E25" i="20"/>
  <c r="F25" i="20"/>
  <c r="G25" i="20"/>
  <c r="H25" i="20"/>
  <c r="I25" i="20"/>
  <c r="J25" i="20"/>
  <c r="K25" i="20"/>
  <c r="L25" i="20"/>
  <c r="M25" i="20"/>
  <c r="F20" i="15"/>
  <c r="D23" i="20"/>
  <c r="D52" i="20" a="1"/>
  <c r="D52" i="20" s="1"/>
  <c r="G11" i="12"/>
  <c r="G12" i="12" s="1"/>
  <c r="G14" i="12" s="1"/>
  <c r="H10" i="12"/>
  <c r="K30" i="15"/>
  <c r="D21" i="15"/>
  <c r="F21" i="15" s="1"/>
  <c r="G21" i="15"/>
  <c r="C22" i="15" s="1"/>
  <c r="G49" i="14"/>
  <c r="K31" i="20" l="1"/>
  <c r="K76" i="20"/>
  <c r="K48" i="20"/>
  <c r="J76" i="20"/>
  <c r="J48" i="20"/>
  <c r="J31" i="20"/>
  <c r="D41" i="20"/>
  <c r="D42" i="20" s="1"/>
  <c r="D25" i="20"/>
  <c r="I76" i="20"/>
  <c r="I31" i="20"/>
  <c r="I48" i="20"/>
  <c r="L31" i="20"/>
  <c r="L48" i="20"/>
  <c r="L76" i="20"/>
  <c r="H76" i="20"/>
  <c r="H48" i="20"/>
  <c r="H31" i="20"/>
  <c r="G31" i="20"/>
  <c r="G48" i="20"/>
  <c r="G76" i="20"/>
  <c r="F48" i="20"/>
  <c r="F31" i="20"/>
  <c r="F76" i="20"/>
  <c r="M76" i="20"/>
  <c r="M48" i="20"/>
  <c r="M31" i="20"/>
  <c r="E76" i="20"/>
  <c r="E48" i="20"/>
  <c r="E31" i="20"/>
  <c r="H11" i="12"/>
  <c r="H12" i="12" s="1"/>
  <c r="H14" i="12" s="1"/>
  <c r="I10" i="12"/>
  <c r="J10" i="12" s="1"/>
  <c r="G22" i="15"/>
  <c r="C23" i="15" s="1"/>
  <c r="D22" i="15"/>
  <c r="G50" i="14"/>
  <c r="G51" i="14"/>
  <c r="G77" i="20" l="1"/>
  <c r="G57" i="20"/>
  <c r="D76" i="20"/>
  <c r="D31" i="20"/>
  <c r="D48" i="20"/>
  <c r="H77" i="20"/>
  <c r="H57" i="20"/>
  <c r="E42" i="20"/>
  <c r="K49" i="20"/>
  <c r="K58" i="20" s="1"/>
  <c r="K10" i="12"/>
  <c r="K11" i="12" s="1"/>
  <c r="K12" i="12" s="1"/>
  <c r="K14" i="12" s="1"/>
  <c r="J11" i="12"/>
  <c r="J12" i="12" s="1"/>
  <c r="J14" i="12" s="1"/>
  <c r="M49" i="20"/>
  <c r="M58" i="20" s="1"/>
  <c r="H49" i="20"/>
  <c r="H58" i="20" s="1"/>
  <c r="L49" i="20"/>
  <c r="L58" i="20" s="1"/>
  <c r="L77" i="20"/>
  <c r="L57" i="20"/>
  <c r="L59" i="20" s="1"/>
  <c r="I49" i="20"/>
  <c r="I58" i="20" s="1"/>
  <c r="J57" i="20"/>
  <c r="J77" i="20"/>
  <c r="E77" i="20"/>
  <c r="E57" i="20"/>
  <c r="F77" i="20"/>
  <c r="F57" i="20"/>
  <c r="E49" i="20"/>
  <c r="E58" i="20" s="1"/>
  <c r="F49" i="20"/>
  <c r="F58" i="20" s="1"/>
  <c r="I77" i="20"/>
  <c r="I57" i="20"/>
  <c r="J49" i="20"/>
  <c r="J58" i="20" s="1"/>
  <c r="K77" i="20"/>
  <c r="K57" i="20"/>
  <c r="M77" i="20"/>
  <c r="M57" i="20"/>
  <c r="G49" i="20"/>
  <c r="G58" i="20" s="1"/>
  <c r="I11" i="12"/>
  <c r="I12" i="12" s="1"/>
  <c r="I14" i="12" s="1"/>
  <c r="G23" i="15"/>
  <c r="D23" i="15"/>
  <c r="F23" i="15" s="1"/>
  <c r="F22" i="15"/>
  <c r="G52" i="14"/>
  <c r="K50" i="20" l="1"/>
  <c r="M59" i="20"/>
  <c r="L50" i="20"/>
  <c r="K59" i="20"/>
  <c r="E59" i="20"/>
  <c r="H59" i="20"/>
  <c r="D49" i="20"/>
  <c r="G50" i="20"/>
  <c r="J50" i="20"/>
  <c r="E50" i="20"/>
  <c r="I59" i="20"/>
  <c r="F59" i="20"/>
  <c r="D77" i="20"/>
  <c r="D57" i="20"/>
  <c r="G59" i="20"/>
  <c r="J59" i="20"/>
  <c r="M50" i="20"/>
  <c r="F50" i="20"/>
  <c r="I50" i="20"/>
  <c r="H50" i="20"/>
  <c r="F42" i="20"/>
  <c r="J20" i="15"/>
  <c r="L20" i="15"/>
  <c r="C24" i="15"/>
  <c r="M20" i="15"/>
  <c r="G53" i="14"/>
  <c r="D50" i="20" l="1"/>
  <c r="K53" i="20"/>
  <c r="L53" i="20"/>
  <c r="D59" i="20"/>
  <c r="H53" i="20"/>
  <c r="J53" i="20"/>
  <c r="F53" i="20"/>
  <c r="E53" i="20"/>
  <c r="I53" i="20"/>
  <c r="G53" i="20"/>
  <c r="M53" i="20"/>
  <c r="G42" i="20"/>
  <c r="G24" i="15"/>
  <c r="C25" i="15" s="1"/>
  <c r="D24" i="15"/>
  <c r="G54" i="14"/>
  <c r="D53" i="20" l="1"/>
  <c r="H42" i="20"/>
  <c r="G25" i="15"/>
  <c r="D25" i="15"/>
  <c r="F24" i="15"/>
  <c r="G55" i="14"/>
  <c r="I42" i="20" l="1"/>
  <c r="C26" i="15"/>
  <c r="F25" i="15"/>
  <c r="G56" i="14"/>
  <c r="J42" i="20" l="1"/>
  <c r="G26" i="15"/>
  <c r="C27" i="15" s="1"/>
  <c r="D26" i="15"/>
  <c r="G57" i="14"/>
  <c r="K42" i="20" l="1"/>
  <c r="G27" i="15"/>
  <c r="D27" i="15"/>
  <c r="F27" i="15" s="1"/>
  <c r="F26" i="15"/>
  <c r="G58" i="14"/>
  <c r="L42" i="20" l="1"/>
  <c r="M21" i="15"/>
  <c r="C28" i="15"/>
  <c r="L21" i="15"/>
  <c r="J21" i="15"/>
  <c r="G59" i="14"/>
  <c r="M42" i="20" l="1"/>
  <c r="P42" i="20" s="1"/>
  <c r="P43" i="20" s="1"/>
  <c r="P44" i="20" s="1"/>
  <c r="P46" i="20" s="1"/>
  <c r="P48" i="20" s="1"/>
  <c r="N63" i="20" s="1"/>
  <c r="N70" i="20" s="1"/>
  <c r="G28" i="15"/>
  <c r="C29" i="15" s="1"/>
  <c r="D28" i="15"/>
  <c r="G60" i="14"/>
  <c r="G29" i="15" l="1"/>
  <c r="D29" i="15"/>
  <c r="F29" i="15" s="1"/>
  <c r="F28" i="15"/>
  <c r="G61" i="14"/>
  <c r="C30" i="15" l="1"/>
  <c r="G62" i="14"/>
  <c r="G30" i="15" l="1"/>
  <c r="C31" i="15" s="1"/>
  <c r="D30" i="15"/>
  <c r="G63" i="14"/>
  <c r="G31" i="15" l="1"/>
  <c r="D31" i="15"/>
  <c r="F31" i="15" s="1"/>
  <c r="F30" i="15"/>
  <c r="G64" i="14"/>
  <c r="C32" i="15" l="1"/>
  <c r="M22" i="15"/>
  <c r="L22" i="15"/>
  <c r="J22" i="15"/>
  <c r="G65" i="14"/>
  <c r="G32" i="15" l="1"/>
  <c r="C33" i="15" s="1"/>
  <c r="D32" i="15"/>
  <c r="G66" i="14"/>
  <c r="G33" i="15" l="1"/>
  <c r="D33" i="15"/>
  <c r="F33" i="15" s="1"/>
  <c r="F32" i="15"/>
  <c r="G67" i="14"/>
  <c r="C34" i="15" l="1"/>
  <c r="G68" i="14"/>
  <c r="G34" i="15" l="1"/>
  <c r="C35" i="15" s="1"/>
  <c r="D34" i="15"/>
  <c r="G69" i="14"/>
  <c r="G35" i="15" l="1"/>
  <c r="D35" i="15"/>
  <c r="F35" i="15" s="1"/>
  <c r="F34" i="15"/>
  <c r="G70" i="14"/>
  <c r="J23" i="15" l="1"/>
  <c r="C36" i="15"/>
  <c r="M23" i="15"/>
  <c r="L23" i="15"/>
  <c r="G71" i="14"/>
  <c r="G36" i="15" l="1"/>
  <c r="C37" i="15" s="1"/>
  <c r="D36" i="15"/>
  <c r="G72" i="14"/>
  <c r="G37" i="15" l="1"/>
  <c r="D37" i="15"/>
  <c r="F37" i="15" s="1"/>
  <c r="F36" i="15"/>
  <c r="G73" i="14"/>
  <c r="C38" i="15" l="1"/>
  <c r="G74" i="14"/>
  <c r="G38" i="15" l="1"/>
  <c r="C39" i="15" s="1"/>
  <c r="D38" i="15"/>
  <c r="G75" i="14"/>
  <c r="G39" i="15" l="1"/>
  <c r="D39" i="15"/>
  <c r="F39" i="15" s="1"/>
  <c r="F38" i="15"/>
  <c r="G76" i="14"/>
  <c r="J24" i="15" l="1"/>
  <c r="C40" i="15"/>
  <c r="M24" i="15"/>
  <c r="L24" i="15"/>
  <c r="G77" i="14"/>
  <c r="G40" i="15" l="1"/>
  <c r="C41" i="15" s="1"/>
  <c r="D40" i="15"/>
  <c r="G78" i="14"/>
  <c r="G41" i="15" l="1"/>
  <c r="D41" i="15"/>
  <c r="F41" i="15" s="1"/>
  <c r="F40" i="15"/>
  <c r="G79" i="14"/>
  <c r="C42" i="15" l="1"/>
  <c r="G80" i="14"/>
  <c r="G42" i="15" l="1"/>
  <c r="C43" i="15" s="1"/>
  <c r="D42" i="15"/>
  <c r="G81" i="14"/>
  <c r="G43" i="15" l="1"/>
  <c r="D43" i="15"/>
  <c r="F43" i="15" s="1"/>
  <c r="F42" i="15"/>
  <c r="G82" i="14"/>
  <c r="J25" i="15" l="1"/>
  <c r="L25" i="15"/>
  <c r="C44" i="15"/>
  <c r="M25" i="15"/>
  <c r="G83" i="14"/>
  <c r="G44" i="15" l="1"/>
  <c r="C45" i="15" s="1"/>
  <c r="D44" i="15"/>
  <c r="G84" i="14"/>
  <c r="G85" i="14" s="1"/>
  <c r="G45" i="15" l="1"/>
  <c r="D45" i="15"/>
  <c r="F45" i="15" s="1"/>
  <c r="F44" i="15"/>
  <c r="G86" i="14"/>
  <c r="C46" i="15" l="1"/>
  <c r="G46" i="15" l="1"/>
  <c r="C47" i="15" s="1"/>
  <c r="D46" i="15"/>
  <c r="G47" i="15" l="1"/>
  <c r="D47" i="15"/>
  <c r="F47" i="15" s="1"/>
  <c r="F46" i="15"/>
  <c r="J26" i="15" l="1"/>
  <c r="M26" i="15"/>
  <c r="C48" i="15"/>
  <c r="L26" i="15"/>
  <c r="G48" i="15" l="1"/>
  <c r="C49" i="15" s="1"/>
  <c r="D48" i="15"/>
  <c r="G49" i="15" l="1"/>
  <c r="D49" i="15"/>
  <c r="F49" i="15" s="1"/>
  <c r="F48" i="15"/>
  <c r="C50" i="15" l="1"/>
  <c r="G50" i="15" l="1"/>
  <c r="C51" i="15" s="1"/>
  <c r="D50" i="15"/>
  <c r="G51" i="15" l="1"/>
  <c r="D51" i="15"/>
  <c r="F51" i="15" s="1"/>
  <c r="F50" i="15"/>
  <c r="J27" i="15" l="1"/>
  <c r="C52" i="15"/>
  <c r="M27" i="15"/>
  <c r="L27" i="15"/>
  <c r="G52" i="15" l="1"/>
  <c r="C53" i="15" s="1"/>
  <c r="D52" i="15"/>
  <c r="G53" i="15" l="1"/>
  <c r="D53" i="15"/>
  <c r="F53" i="15" s="1"/>
  <c r="F52" i="15"/>
  <c r="C54" i="15" l="1"/>
  <c r="G54" i="15" l="1"/>
  <c r="C55" i="15" s="1"/>
  <c r="D54" i="15"/>
  <c r="G55" i="15" l="1"/>
  <c r="D55" i="15"/>
  <c r="F55" i="15" s="1"/>
  <c r="F54" i="15"/>
  <c r="C56" i="15" l="1"/>
  <c r="M28" i="15"/>
  <c r="L28" i="15"/>
  <c r="J28" i="15"/>
  <c r="G56" i="15" l="1"/>
  <c r="C57" i="15" s="1"/>
  <c r="D56" i="15"/>
  <c r="G57" i="15" l="1"/>
  <c r="D57" i="15"/>
  <c r="F57" i="15" s="1"/>
  <c r="F56" i="15"/>
  <c r="C58" i="15" l="1"/>
  <c r="G58" i="15" l="1"/>
  <c r="C59" i="15" s="1"/>
  <c r="D58" i="15"/>
  <c r="G59" i="15" l="1"/>
  <c r="M29" i="15" s="1"/>
  <c r="D86" i="20" s="1" a="1"/>
  <c r="D59" i="15"/>
  <c r="F59" i="15" s="1"/>
  <c r="F58" i="15"/>
  <c r="D86" i="20" l="1"/>
  <c r="D87" i="20" s="1"/>
  <c r="F87" i="20"/>
  <c r="G87" i="20"/>
  <c r="E87" i="20"/>
  <c r="H87" i="20"/>
  <c r="I87" i="20"/>
  <c r="J87" i="20"/>
  <c r="K87" i="20"/>
  <c r="L87" i="20"/>
  <c r="M87" i="20"/>
  <c r="D60" i="15"/>
  <c r="F60" i="15"/>
  <c r="B65" i="15" s="1"/>
  <c r="L29" i="15"/>
  <c r="D84" i="20" s="1" a="1"/>
  <c r="D84" i="20" s="1"/>
  <c r="J29" i="15"/>
  <c r="J30" i="15" l="1"/>
  <c r="L30" i="15"/>
  <c r="B63" i="15"/>
  <c r="B66" i="15"/>
  <c r="D83" i="20" l="1"/>
  <c r="H83" i="20"/>
  <c r="L83" i="20"/>
  <c r="E83" i="20"/>
  <c r="J83" i="20"/>
  <c r="F83" i="20"/>
  <c r="G83" i="20"/>
  <c r="I83" i="20"/>
  <c r="K83" i="20"/>
  <c r="M83" i="20"/>
  <c r="J27" i="20"/>
  <c r="G27" i="20"/>
  <c r="M27" i="20"/>
  <c r="K27" i="20"/>
  <c r="I27" i="20"/>
  <c r="F27" i="20"/>
  <c r="E27" i="20"/>
  <c r="L27" i="20"/>
  <c r="H27" i="20"/>
  <c r="I28" i="20" l="1"/>
  <c r="I36" i="20" s="1"/>
  <c r="I37" i="20" s="1"/>
  <c r="M28" i="20"/>
  <c r="M36" i="20" s="1"/>
  <c r="M37" i="20" s="1"/>
  <c r="K28" i="20"/>
  <c r="K36" i="20" s="1"/>
  <c r="K37" i="20" s="1"/>
  <c r="L28" i="20"/>
  <c r="L36" i="20" s="1"/>
  <c r="L37" i="20" s="1"/>
  <c r="G28" i="20"/>
  <c r="G36" i="20" s="1"/>
  <c r="G37" i="20" s="1"/>
  <c r="E28" i="20"/>
  <c r="E36" i="20" s="1"/>
  <c r="E37" i="20" s="1"/>
  <c r="H28" i="20"/>
  <c r="H36" i="20" s="1"/>
  <c r="H37" i="20" s="1"/>
  <c r="J28" i="20"/>
  <c r="J36" i="20" s="1"/>
  <c r="J37" i="20" s="1"/>
  <c r="D27" i="20"/>
  <c r="F28" i="20"/>
  <c r="F36" i="20" s="1"/>
  <c r="F37" i="20" s="1"/>
  <c r="K29" i="20" l="1"/>
  <c r="L29" i="20"/>
  <c r="E29" i="20"/>
  <c r="H29" i="20"/>
  <c r="I29" i="20"/>
  <c r="F29" i="20"/>
  <c r="M29" i="20"/>
  <c r="F78" i="20"/>
  <c r="F80" i="20" s="1"/>
  <c r="F38" i="20"/>
  <c r="F60" i="20" s="1"/>
  <c r="F61" i="20" s="1"/>
  <c r="F85" i="20" s="1"/>
  <c r="F44" i="20"/>
  <c r="F74" i="20" s="1"/>
  <c r="F81" i="20" s="1"/>
  <c r="M44" i="20"/>
  <c r="M74" i="20" s="1"/>
  <c r="M81" i="20" s="1"/>
  <c r="M38" i="20"/>
  <c r="M60" i="20" s="1"/>
  <c r="M61" i="20" s="1"/>
  <c r="M85" i="20" s="1"/>
  <c r="M78" i="20"/>
  <c r="M80" i="20" s="1"/>
  <c r="G29" i="20"/>
  <c r="H78" i="20"/>
  <c r="H80" i="20" s="1"/>
  <c r="H38" i="20"/>
  <c r="H60" i="20" s="1"/>
  <c r="H61" i="20" s="1"/>
  <c r="H85" i="20" s="1"/>
  <c r="H44" i="20"/>
  <c r="H74" i="20" s="1"/>
  <c r="H81" i="20" s="1"/>
  <c r="L78" i="20"/>
  <c r="L80" i="20" s="1"/>
  <c r="L38" i="20"/>
  <c r="L60" i="20" s="1"/>
  <c r="L61" i="20" s="1"/>
  <c r="L85" i="20" s="1"/>
  <c r="L44" i="20"/>
  <c r="L74" i="20" s="1"/>
  <c r="L81" i="20" s="1"/>
  <c r="G78" i="20"/>
  <c r="G80" i="20" s="1"/>
  <c r="G38" i="20"/>
  <c r="G60" i="20" s="1"/>
  <c r="G61" i="20" s="1"/>
  <c r="G85" i="20" s="1"/>
  <c r="G44" i="20"/>
  <c r="G74" i="20" s="1"/>
  <c r="G81" i="20" s="1"/>
  <c r="K38" i="20"/>
  <c r="K60" i="20" s="1"/>
  <c r="K61" i="20" s="1"/>
  <c r="K85" i="20" s="1"/>
  <c r="K78" i="20"/>
  <c r="K80" i="20" s="1"/>
  <c r="K44" i="20"/>
  <c r="K74" i="20" s="1"/>
  <c r="K81" i="20" s="1"/>
  <c r="I38" i="20"/>
  <c r="I60" i="20" s="1"/>
  <c r="I61" i="20" s="1"/>
  <c r="I85" i="20" s="1"/>
  <c r="I78" i="20"/>
  <c r="I80" i="20" s="1"/>
  <c r="I44" i="20"/>
  <c r="I74" i="20" s="1"/>
  <c r="I81" i="20" s="1"/>
  <c r="E78" i="20"/>
  <c r="E80" i="20" s="1"/>
  <c r="E44" i="20"/>
  <c r="D28" i="20"/>
  <c r="J29" i="20"/>
  <c r="J38" i="20"/>
  <c r="J60" i="20" s="1"/>
  <c r="J61" i="20" s="1"/>
  <c r="J85" i="20" s="1"/>
  <c r="J78" i="20"/>
  <c r="J80" i="20" s="1"/>
  <c r="J44" i="20"/>
  <c r="J74" i="20" s="1"/>
  <c r="J81" i="20" s="1"/>
  <c r="K63" i="20" l="1"/>
  <c r="K70" i="20" s="1"/>
  <c r="M63" i="20"/>
  <c r="M70" i="20" s="1"/>
  <c r="F63" i="20"/>
  <c r="F70" i="20" s="1"/>
  <c r="J63" i="20"/>
  <c r="J70" i="20" s="1"/>
  <c r="G63" i="20"/>
  <c r="G70" i="20" s="1"/>
  <c r="L63" i="20"/>
  <c r="L70" i="20" s="1"/>
  <c r="H63" i="20"/>
  <c r="H70" i="20" s="1"/>
  <c r="I63" i="20"/>
  <c r="I70" i="20" s="1"/>
  <c r="E74" i="20"/>
  <c r="E81" i="20" s="1"/>
  <c r="D29" i="20"/>
  <c r="A36" i="20" l="1"/>
  <c r="D37" i="20"/>
  <c r="D78" i="20" s="1"/>
  <c r="D80" i="20" l="1"/>
  <c r="D38" i="20"/>
  <c r="D60" i="20" s="1"/>
  <c r="D61" i="20" s="1"/>
  <c r="D85" i="20" s="1"/>
  <c r="D44" i="20"/>
  <c r="D74" i="20" s="1"/>
  <c r="D81" i="20" s="1"/>
  <c r="E38" i="20"/>
  <c r="E60" i="20" s="1"/>
  <c r="E61" i="20" s="1"/>
  <c r="E85" i="20" s="1"/>
  <c r="E63" i="20" l="1"/>
  <c r="E70" i="20" s="1"/>
  <c r="D63" i="20"/>
  <c r="D70" i="20" s="1"/>
  <c r="C71" i="20" s="1"/>
  <c r="C67" i="20"/>
  <c r="C66" i="20" l="1"/>
  <c r="C3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 SOFIA NANCLARES RUA</author>
  </authors>
  <commentList>
    <comment ref="F13" authorId="0" shapeId="0" xr:uid="{B80162C3-8E4A-47BD-9DE9-1222B9866A56}">
      <text>
        <r>
          <rPr>
            <b/>
            <sz val="9"/>
            <color rgb="FF000000"/>
            <rFont val="Tahoma"/>
            <family val="2"/>
          </rPr>
          <t>ANA SOFIA NANCLARES RUA: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Se utilizó el IBR Overnight publicado por el Banco de la República de 10,516%, por ser la referencia oficial vigente al momento del análisis.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<sst xmlns="http://schemas.openxmlformats.org/spreadsheetml/2006/main" count="485" uniqueCount="330">
  <si>
    <t>Inversión inicial</t>
  </si>
  <si>
    <t>millones de COP</t>
  </si>
  <si>
    <t>Tasa máxima</t>
  </si>
  <si>
    <t>Vida útil mínima</t>
  </si>
  <si>
    <t>Nota</t>
  </si>
  <si>
    <t>Maquinaria y Equipos</t>
  </si>
  <si>
    <t>Sacado de la nota 13 del PDF</t>
  </si>
  <si>
    <t>Muebles y Enseres</t>
  </si>
  <si>
    <t>Obras Civiles</t>
  </si>
  <si>
    <t>Montaje</t>
  </si>
  <si>
    <t>N/A</t>
  </si>
  <si>
    <t>Transporte de Equipos</t>
  </si>
  <si>
    <t>Total</t>
  </si>
  <si>
    <t>Estudio de Mercado</t>
  </si>
  <si>
    <t>Estudios Técnicos</t>
  </si>
  <si>
    <t>Avalúo comercial</t>
  </si>
  <si>
    <t>CXC (días)</t>
  </si>
  <si>
    <t>CXP (días)</t>
  </si>
  <si>
    <t>%E</t>
  </si>
  <si>
    <t>%D</t>
  </si>
  <si>
    <t>millones</t>
  </si>
  <si>
    <t>Valor de venta esperado</t>
  </si>
  <si>
    <t>Mantenimiento sobre activos</t>
  </si>
  <si>
    <t>Costo de materia prima</t>
  </si>
  <si>
    <t>la tonelada</t>
  </si>
  <si>
    <t>Crecimiento real materia prima</t>
  </si>
  <si>
    <t>Gastos operacionales variables</t>
  </si>
  <si>
    <t>sobre los ingresos</t>
  </si>
  <si>
    <t>Comisiones</t>
  </si>
  <si>
    <t>Precio de venta</t>
  </si>
  <si>
    <t>Crecimiento real anual</t>
  </si>
  <si>
    <t>Cargo</t>
  </si>
  <si>
    <t>No</t>
  </si>
  <si>
    <t>Salario / Mes
(millones de COP)</t>
  </si>
  <si>
    <t>Salario anual (millones de COP)</t>
  </si>
  <si>
    <t>¿Es parte de la producción?</t>
  </si>
  <si>
    <t>Gerente del Proyecto</t>
  </si>
  <si>
    <t>NO</t>
  </si>
  <si>
    <t>Salario anual de nómina operativa</t>
  </si>
  <si>
    <t>Jefe de Producción</t>
  </si>
  <si>
    <t>SI</t>
  </si>
  <si>
    <t>Salario anual de nómina administrativa</t>
  </si>
  <si>
    <t>Secretaria</t>
  </si>
  <si>
    <t>Director Financiero</t>
  </si>
  <si>
    <t>Director de Gestión Humana</t>
  </si>
  <si>
    <t>Contador</t>
  </si>
  <si>
    <t>Ingeniero de mantenimiento</t>
  </si>
  <si>
    <t>Analista de Gestión Humana</t>
  </si>
  <si>
    <t>Auxiliares operativos</t>
  </si>
  <si>
    <t>Auxiliar administrativo</t>
  </si>
  <si>
    <t>Auxiliar contable</t>
  </si>
  <si>
    <t>Jefe de Salud y Seguridad en el trabajo</t>
  </si>
  <si>
    <t>Auxiliar Salud y Seguridad en el trabajo</t>
  </si>
  <si>
    <t>Asesores comerciales</t>
  </si>
  <si>
    <t>Personal de vigilancia</t>
  </si>
  <si>
    <t>Factor salarial</t>
  </si>
  <si>
    <t>Detalle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</si>
  <si>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</si>
  <si>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</si>
  <si>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</si>
  <si>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</si>
  <si>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</si>
  <si>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</si>
  <si>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</si>
  <si>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</si>
  <si>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</si>
  <si>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</si>
  <si>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Seguro en primeros 5 años</t>
  </si>
  <si>
    <t>Seguro en segundos 5 años</t>
  </si>
  <si>
    <t>Estudio de mercado</t>
  </si>
  <si>
    <t>millones (COP)</t>
  </si>
  <si>
    <t>Estudios técnicos</t>
  </si>
  <si>
    <t>Datos</t>
  </si>
  <si>
    <t>Fuente</t>
  </si>
  <si>
    <t>Banco de Bogotá</t>
  </si>
  <si>
    <t>DTF TA</t>
  </si>
  <si>
    <t>https://www.grupoaval.com/wps/portal/grupo-aval/aval/portal-financiero/indicadores/tasas-interes</t>
  </si>
  <si>
    <t>Plazo 10 años</t>
  </si>
  <si>
    <t>Tasa TA</t>
  </si>
  <si>
    <t>Tasa (DTF + 10.5% TA)</t>
  </si>
  <si>
    <t>Período trimestre anticipado</t>
  </si>
  <si>
    <t>Pago de interés trimestral</t>
  </si>
  <si>
    <t>Período trimestre vencido</t>
  </si>
  <si>
    <t>Amortización</t>
  </si>
  <si>
    <t>Nominal anual trimestre vencido</t>
  </si>
  <si>
    <t>1 año de gracia para pago de capital</t>
  </si>
  <si>
    <t>Efectivo anual</t>
  </si>
  <si>
    <t>Amortizaciones de capitales anuales (10% a partir del año 2 y 20% al vencimiento)</t>
  </si>
  <si>
    <t>Gastos iniciales (6% sobre el valor del crédito descontado del valor desembolsado)</t>
  </si>
  <si>
    <t>Banco BBVA</t>
  </si>
  <si>
    <t>Tasa (IBR + 10.5% TV)</t>
  </si>
  <si>
    <t>Pago de intereses trimestral</t>
  </si>
  <si>
    <t>Pago: cuota fija (2 años de gracia de pago de capital)</t>
  </si>
  <si>
    <t>Gastos iniciales (5.5% sobre el valor del crédito descontado del valor desembolsado)</t>
  </si>
  <si>
    <t>Emisión de bonos corporativos</t>
  </si>
  <si>
    <t>Tasa: IPC + 10.5 E.A.</t>
  </si>
  <si>
    <t>Pago intereses: semestral</t>
  </si>
  <si>
    <t>Pago de capital: al vencimiento (bullet)</t>
  </si>
  <si>
    <t>Gastos emisión y estructuración (25% sobre el valor de emisión)</t>
  </si>
  <si>
    <t>Proyección venta de activos</t>
  </si>
  <si>
    <t>Costo de desmantelamiento</t>
  </si>
  <si>
    <t>Tasa de impuesto por ganancia ocasional</t>
  </si>
  <si>
    <t>Devaluación esperada</t>
  </si>
  <si>
    <t>Año</t>
  </si>
  <si>
    <t>Año 0</t>
  </si>
  <si>
    <t>Consecutivo</t>
  </si>
  <si>
    <t>Inflación</t>
  </si>
  <si>
    <t>Tasa de impuestos</t>
  </si>
  <si>
    <t>Precio</t>
  </si>
  <si>
    <t>Costo</t>
  </si>
  <si>
    <t>Cantidades</t>
  </si>
  <si>
    <t>Ingresos operacionales</t>
  </si>
  <si>
    <t>Costo de ventas</t>
  </si>
  <si>
    <t>Costo de nómina asociada a la operación</t>
  </si>
  <si>
    <t>Utilidad bruta</t>
  </si>
  <si>
    <t>Gastos operacionales (variable)</t>
  </si>
  <si>
    <t>Depreciación</t>
  </si>
  <si>
    <t>EBIT</t>
  </si>
  <si>
    <t>Gastos financieros (intereses)</t>
  </si>
  <si>
    <t>EBT</t>
  </si>
  <si>
    <t>Provisión de impuestos</t>
  </si>
  <si>
    <t>Utilidad neta</t>
  </si>
  <si>
    <t>CXC</t>
  </si>
  <si>
    <t>KTO</t>
  </si>
  <si>
    <t>Impuestos por pagar</t>
  </si>
  <si>
    <t>KTNO</t>
  </si>
  <si>
    <t>Δ KTNO</t>
  </si>
  <si>
    <t>PPE (Propiedades, Planta y Equipo) Bruta</t>
  </si>
  <si>
    <t>Depreciación acumulada</t>
  </si>
  <si>
    <t>PPE Neta</t>
  </si>
  <si>
    <t>Flujo de caja</t>
  </si>
  <si>
    <t>NOPAT</t>
  </si>
  <si>
    <t>Depreciaciones</t>
  </si>
  <si>
    <t>Amortizaciones</t>
  </si>
  <si>
    <t>Flujo de caja bruto</t>
  </si>
  <si>
    <t>(-) ΔKTNO</t>
  </si>
  <si>
    <t>(-) CAPEX</t>
  </si>
  <si>
    <t>FCL (Unlevered cash flow)</t>
  </si>
  <si>
    <t>Factor de descuento</t>
  </si>
  <si>
    <t>FCL Descontado</t>
  </si>
  <si>
    <t>Profitability Index</t>
  </si>
  <si>
    <t>ROIC</t>
  </si>
  <si>
    <t>Margen bruto</t>
  </si>
  <si>
    <t>Margen EBIT</t>
  </si>
  <si>
    <t>Margen EBITDA</t>
  </si>
  <si>
    <t>Palanca de crecimiento</t>
  </si>
  <si>
    <t>EVA</t>
  </si>
  <si>
    <t>Proyección de Inflación Colombia a 10 Años (2026-2035)</t>
  </si>
  <si>
    <t>Valor</t>
  </si>
  <si>
    <r>
      <t xml:space="preserve">Según el estatuto tributario de los impuestos administrados por la dirección general de impuestos nacionales
artículo 137, </t>
    </r>
    <r>
      <rPr>
        <b/>
        <sz val="12"/>
        <color theme="1"/>
        <rFont val="Aptos Narrow"/>
        <family val="2"/>
        <scheme val="minor"/>
      </rPr>
      <t>hay un límite a la deducción por depreciación</t>
    </r>
    <r>
      <rPr>
        <sz val="12"/>
        <color theme="1"/>
        <rFont val="Aptos Narrow"/>
        <family val="2"/>
        <scheme val="minor"/>
      </rPr>
      <t xml:space="preserve">.
Para </t>
    </r>
    <r>
      <rPr>
        <b/>
        <sz val="12"/>
        <color theme="1"/>
        <rFont val="Aptos Narrow"/>
        <family val="2"/>
        <scheme val="minor"/>
      </rPr>
      <t>construcciones y edificaciones</t>
    </r>
    <r>
      <rPr>
        <sz val="12"/>
        <color theme="1"/>
        <rFont val="Aptos Narrow"/>
        <family val="2"/>
        <scheme val="minor"/>
      </rPr>
      <t xml:space="preserve"> (obras civiles), </t>
    </r>
    <r>
      <rPr>
        <b/>
        <sz val="12"/>
        <color theme="1"/>
        <rFont val="Aptos Narrow"/>
        <family val="2"/>
        <scheme val="minor"/>
      </rPr>
      <t>la tasa de depreciación fiscal anual es del 2.22%</t>
    </r>
    <r>
      <rPr>
        <sz val="12"/>
        <color theme="1"/>
        <rFont val="Aptos Narrow"/>
        <family val="2"/>
        <scheme val="minor"/>
      </rPr>
      <t xml:space="preserve">, para
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,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 y para </t>
    </r>
    <r>
      <rPr>
        <b/>
        <sz val="12"/>
        <color theme="1"/>
        <rFont val="Aptos Narrow"/>
        <family val="2"/>
        <scheme val="minor"/>
      </rPr>
      <t>muebles y enseres</t>
    </r>
    <r>
      <rPr>
        <sz val="12"/>
        <color theme="1"/>
        <rFont val="Aptos Narrow"/>
        <family val="2"/>
        <scheme val="minor"/>
      </rPr>
      <t xml:space="preserve"> es del </t>
    </r>
    <r>
      <rPr>
        <b/>
        <sz val="12"/>
        <color theme="1"/>
        <rFont val="Aptos Narrow"/>
        <family val="2"/>
        <scheme val="minor"/>
      </rPr>
      <t>10%</t>
    </r>
    <r>
      <rPr>
        <sz val="12"/>
        <color theme="1"/>
        <rFont val="Aptos Narrow"/>
        <family val="2"/>
        <scheme val="minor"/>
      </rPr>
      <t xml:space="preserve">. Entonces como la tasa se calcula como
</t>
    </r>
    <r>
      <rPr>
        <b/>
        <sz val="12"/>
        <color theme="1"/>
        <rFont val="Aptos Narrow"/>
        <family val="2"/>
        <scheme val="minor"/>
      </rPr>
      <t>tasa=1/vida útil</t>
    </r>
    <r>
      <rPr>
        <sz val="12"/>
        <color theme="1"/>
        <rFont val="Aptos Narrow"/>
        <family val="2"/>
        <scheme val="minor"/>
      </rPr>
      <t xml:space="preserve">, se puede despejar la vida útil como 1/tasa. Para </t>
    </r>
    <r>
      <rPr>
        <b/>
        <sz val="12"/>
        <color theme="1"/>
        <rFont val="Aptos Narrow"/>
        <family val="2"/>
        <scheme val="minor"/>
      </rPr>
      <t>maquinaria y equipos</t>
    </r>
    <r>
      <rPr>
        <sz val="12"/>
        <color theme="1"/>
        <rFont val="Aptos Narrow"/>
        <family val="2"/>
        <scheme val="minor"/>
      </rPr>
      <t xml:space="preserve"> la tasa máxima es 10%, por lo que 1/0.1 = </t>
    </r>
    <r>
      <rPr>
        <b/>
        <sz val="12"/>
        <color theme="1"/>
        <rFont val="Aptos Narrow"/>
        <family val="2"/>
        <scheme val="minor"/>
      </rPr>
      <t>10 años es la vida útil mínima que se puede ponerle a estos activos</t>
    </r>
    <r>
      <rPr>
        <sz val="12"/>
        <color theme="1"/>
        <rFont val="Aptos Narrow"/>
        <family val="2"/>
        <scheme val="minor"/>
      </rPr>
      <t>. Dado que
20 años son más que 10 años, es totalmente viable poner 20 años como vida útil a la maquinaria y equipo. Esta misma vida útil se puede poner al montaje y el transporte de equipos ya que son costos de puesta en marcha que se capitalizan
como parte del costo de la maquinaria. Para los muebles y enseres y obras civiles, utilizaremos la vida útil mínima.</t>
    </r>
  </si>
  <si>
    <t xml:space="preserve">Pagina 7 </t>
  </si>
  <si>
    <t>Pagina 4</t>
  </si>
  <si>
    <t>Pagina 5</t>
  </si>
  <si>
    <t>Pagina 6</t>
  </si>
  <si>
    <r>
      <t xml:space="preserve">Nota: este factor salarial se usa para saber cuánto cobrarle al cliente por hora/mes de un profesional, como no estamos vendiendo tiempo de personas y estamos vendiendo toneladas de aluminio, </t>
    </r>
    <r>
      <rPr>
        <b/>
        <sz val="12"/>
        <color theme="1"/>
        <rFont val="Aptos Narrow"/>
        <family val="2"/>
        <scheme val="minor"/>
      </rPr>
      <t>este valor no aplica</t>
    </r>
  </si>
  <si>
    <t xml:space="preserve">Pagina 6_Nota 15 = Incremento salarial con base en la inflación al cierre del año inmediatamente anterior </t>
  </si>
  <si>
    <t>Posible renovación total</t>
  </si>
  <si>
    <t>Sobre el activo fijo "maquina"</t>
  </si>
  <si>
    <t>Genera nueva depreciacion desde el año 5</t>
  </si>
  <si>
    <t>Vida útil</t>
  </si>
  <si>
    <t>https://leyes.co/se_expide_el_estatuto_tributario_de_los_impuestos_administrados_por_la_direccion_general_de_impuestos_nacionales/137.htm</t>
  </si>
  <si>
    <t>Costo de mantenimiento</t>
  </si>
  <si>
    <t>Porcentaje de seguro</t>
  </si>
  <si>
    <t>WACC</t>
  </si>
  <si>
    <t>ESTRUCTURA DE CAPITAL BASE</t>
  </si>
  <si>
    <t>Concepto</t>
  </si>
  <si>
    <t>Inversión Total</t>
  </si>
  <si>
    <t>% Deuda</t>
  </si>
  <si>
    <t>Valor Crédito</t>
  </si>
  <si>
    <t>Banco Bogotá</t>
  </si>
  <si>
    <t>BBVA</t>
  </si>
  <si>
    <t>Bonos</t>
  </si>
  <si>
    <t>Plazo (años)</t>
  </si>
  <si>
    <t>Tasa base</t>
  </si>
  <si>
    <t>EA equivalente</t>
  </si>
  <si>
    <t>Pago intereses</t>
  </si>
  <si>
    <t>Trimestral</t>
  </si>
  <si>
    <t>Semestral</t>
  </si>
  <si>
    <t>Gracia capital</t>
  </si>
  <si>
    <t>1 año</t>
  </si>
  <si>
    <t>2 años</t>
  </si>
  <si>
    <t>No aplica</t>
  </si>
  <si>
    <t>Forma pago capital</t>
  </si>
  <si>
    <t>Cuota fija</t>
  </si>
  <si>
    <t>Bullet</t>
  </si>
  <si>
    <t>Gastos iniciales</t>
  </si>
  <si>
    <t>5,5%</t>
  </si>
  <si>
    <t>Desembolso neto</t>
  </si>
  <si>
    <t>Intereses totales</t>
  </si>
  <si>
    <t>Costo efectivo</t>
  </si>
  <si>
    <t>Período</t>
  </si>
  <si>
    <t>Fecha</t>
  </si>
  <si>
    <t>Saldo Inicial</t>
  </si>
  <si>
    <t>Interés</t>
  </si>
  <si>
    <t>Capital</t>
  </si>
  <si>
    <t>Cuota</t>
  </si>
  <si>
    <t>Saldo Final</t>
  </si>
  <si>
    <t>IBR</t>
  </si>
  <si>
    <t>Tasa TV (IBR + 10,5%)</t>
  </si>
  <si>
    <t>BANCO DE BOGOTA</t>
  </si>
  <si>
    <t>X</t>
  </si>
  <si>
    <t>DTF+10.5%</t>
  </si>
  <si>
    <t>IBR+10.5%</t>
  </si>
  <si>
    <t>IPC+10.5%</t>
  </si>
  <si>
    <t>Tasa libre de riesgo (Rf)</t>
  </si>
  <si>
    <t>https://www.bloomberg.com/markets/rates-bonds/government-bonds/us</t>
  </si>
  <si>
    <t>Retorno esperado del mercado</t>
  </si>
  <si>
    <t>Equity Risk Premium</t>
  </si>
  <si>
    <t>Metales y minería</t>
  </si>
  <si>
    <t>D/E sector</t>
  </si>
  <si>
    <t>Beta de la empresa apalancado (βL)</t>
  </si>
  <si>
    <t>Beta de la empresa desapalancado (βU)</t>
  </si>
  <si>
    <t>Tasa impositiva Colombia</t>
  </si>
  <si>
    <t>Calculado</t>
  </si>
  <si>
    <t>Damodaran, Metales y minería</t>
  </si>
  <si>
    <t>Beta del sector desapalancado (βU)</t>
  </si>
  <si>
    <t>Beta reapalancado a la estructura del proyecto (βLproyecto)</t>
  </si>
  <si>
    <t>(10%D / 90%E)</t>
  </si>
  <si>
    <t xml:space="preserve">D/E ratio </t>
  </si>
  <si>
    <t>Bono Yankee_TES Globales de Colombia en USD a 10 años</t>
  </si>
  <si>
    <t>https://www.grupoaval.com/wps/portal/grupo-aval/aval/portal-financiero/renta-fija/yankees</t>
  </si>
  <si>
    <t>Costo Avalúo Bodega</t>
  </si>
  <si>
    <t>Canon arrendamiento anual (10% VM)</t>
  </si>
  <si>
    <t>Riesgo país (Rp)</t>
  </si>
  <si>
    <t>https://www.grupoaval.com/wps/portal/grupo-aval/aval/portal-financiero/renta-fija/tes/curva-rentabilidad</t>
  </si>
  <si>
    <t>TES de Colombia en COP a 10 años</t>
  </si>
  <si>
    <t>Ke_COP</t>
  </si>
  <si>
    <t>Ke_USD</t>
  </si>
  <si>
    <t>https://www.banrep.gov.co/es/glosario/indicador-bancario-referencia-ibr</t>
  </si>
  <si>
    <t>Inversión en Activos Fijos Inicial</t>
  </si>
  <si>
    <t>Total Capex Activos Fijos</t>
  </si>
  <si>
    <t>Renovación (overhaul) AÑO 5</t>
  </si>
  <si>
    <t>TABLA DE AMORTIZACIÓN - BANCO DE BOGOTÁ</t>
  </si>
  <si>
    <t>PARÁMETROS DEL PRÉSTAMO</t>
  </si>
  <si>
    <t>NOTAS:</t>
  </si>
  <si>
    <t>DTF (T.A.) - Vigente Jun 2026</t>
  </si>
  <si>
    <t>DTF vigente 8-14 Jun 2026: 9.36% T.A. (Fuente: Banco de la República)</t>
  </si>
  <si>
    <t>Spread Banco Bogotá (T.A.)</t>
  </si>
  <si>
    <t>Tasa Anticipada (TA) convertida a Vencida para cálculo de intereses</t>
  </si>
  <si>
    <t>Tasa Total (T.A.)</t>
  </si>
  <si>
    <t>Año 1: Período de gracia para capital (solo se pagan intereses)</t>
  </si>
  <si>
    <t>Años 2-9: Amortización 10% anual del capital (2.5% trimestral)</t>
  </si>
  <si>
    <t>Año 10: Amortización 20% anual del capital (5% trimestral)</t>
  </si>
  <si>
    <t>Monto del Crédito (asumido)</t>
  </si>
  <si>
    <t>Gastos Iniciales (%)</t>
  </si>
  <si>
    <t>Valor Gastos Iniciales</t>
  </si>
  <si>
    <t>Monto Neto Desembolsado</t>
  </si>
  <si>
    <t>TABLA DE AMORTIZACIÓN TRIMESTRAL</t>
  </si>
  <si>
    <t>RESUMEN ANUAL</t>
  </si>
  <si>
    <t>Trimestre</t>
  </si>
  <si>
    <t>Interés Trimestral</t>
  </si>
  <si>
    <t>Amort. Capital</t>
  </si>
  <si>
    <t>Pago Total</t>
  </si>
  <si>
    <t>Intereses</t>
  </si>
  <si>
    <t>TOTAL</t>
  </si>
  <si>
    <t>ESQUEMA DE AMORTIZACIÓN DE CAPITAL</t>
  </si>
  <si>
    <t>% Capital</t>
  </si>
  <si>
    <t>Monto Amort.</t>
  </si>
  <si>
    <t>Descripción</t>
  </si>
  <si>
    <t>Período de gracia</t>
  </si>
  <si>
    <t>Amortización regular</t>
  </si>
  <si>
    <t>Pago al vencimiento</t>
  </si>
  <si>
    <t>TOTALES</t>
  </si>
  <si>
    <t>RESUMEN DEL CRÉDITO</t>
  </si>
  <si>
    <t>Total Intereses Pagados</t>
  </si>
  <si>
    <t>Total Capital Amortizado</t>
  </si>
  <si>
    <t>Total Pagado (Capital + Intereses)</t>
  </si>
  <si>
    <t>Costo Total del Crédito (Intereses + Gastos)</t>
  </si>
  <si>
    <t>Pagina 4 Nota 9</t>
  </si>
  <si>
    <t>Tasa Trimestral Anticipada</t>
  </si>
  <si>
    <t>Tasa Trimestral Vencido</t>
  </si>
  <si>
    <t>Nominal Anual Trimestre Vencido</t>
  </si>
  <si>
    <t>Efectivo Anual</t>
  </si>
  <si>
    <t>CXP</t>
  </si>
  <si>
    <t>Página 5, nota 13</t>
  </si>
  <si>
    <t>de los ingresos</t>
  </si>
  <si>
    <t>del valor inicial de la adquisición</t>
  </si>
  <si>
    <t>¿Costo hundido?</t>
  </si>
  <si>
    <t>Pagina 5 Nota 13</t>
  </si>
  <si>
    <t>Valor en libros  de la bodega</t>
  </si>
  <si>
    <t>sobre el valor inicial de los activos</t>
  </si>
  <si>
    <t>Política de crédito sugerido por área comercial</t>
  </si>
  <si>
    <t>días en vez de 95</t>
  </si>
  <si>
    <t>Aumento esperado en ventas atado a la política sugerida</t>
  </si>
  <si>
    <t>porcentaje de equity</t>
  </si>
  <si>
    <t>porcentaje de deuda</t>
  </si>
  <si>
    <t>EBITDA</t>
  </si>
  <si>
    <t>Año 11</t>
  </si>
  <si>
    <t>Valor en venta esperado</t>
  </si>
  <si>
    <t>Valor en libros</t>
  </si>
  <si>
    <t>Impuesto por ganancia ocasional</t>
  </si>
  <si>
    <t>Disposición final</t>
  </si>
  <si>
    <t>Flujo de caja por venta del activo</t>
  </si>
  <si>
    <t>Valor de salvamento</t>
  </si>
  <si>
    <t>%E+%D</t>
  </si>
  <si>
    <t>WACC Óptimo</t>
  </si>
  <si>
    <t>Kd_DI</t>
  </si>
  <si>
    <t>Canón</t>
  </si>
  <si>
    <t>Flujo de caja descontado</t>
  </si>
  <si>
    <t>Valor presente</t>
  </si>
  <si>
    <t>Mantenimiento de bodega</t>
  </si>
  <si>
    <t>Costos de nómina administrativos</t>
  </si>
  <si>
    <t>Párametro</t>
  </si>
  <si>
    <t xml:space="preserve">1. https://www.grupoaval.com/wps/portal/grupo-aval/aval/portal-financiero/renta-fija/tes/datos-historicos </t>
  </si>
  <si>
    <t>2. https://www.bvc.com.co/renta-fija-deuda-publica-segmento-publico/tuvt11170327?tab=resumen</t>
  </si>
  <si>
    <t>3. https://www.irc.gov.co/440</t>
  </si>
  <si>
    <t>Inflación proyectada</t>
  </si>
  <si>
    <t xml:space="preserve">Nota: para el año 2026 se trabaja con la inflación reportada en mayo del 2026, para los años 2028, 2030, 2032 y 2034 </t>
  </si>
  <si>
    <t>se hace una interpolación simple con respecto al año anterior y siguiente.</t>
  </si>
  <si>
    <t>Fuente:  https://www.irc.gov.co/440</t>
  </si>
  <si>
    <t xml:space="preserve">ESTADO DE RESULTADOS </t>
  </si>
  <si>
    <t xml:space="preserve">Capital Invertido en la operación </t>
  </si>
  <si>
    <t xml:space="preserve">FLUJO DE CAJA </t>
  </si>
  <si>
    <t>(-) Impuestos operativos</t>
  </si>
  <si>
    <t>Flujo de Caja Libre</t>
  </si>
  <si>
    <t>VPN del Proyecto</t>
  </si>
  <si>
    <t>TIR Modificada</t>
  </si>
  <si>
    <t xml:space="preserve">PAYBACK Ajustado </t>
  </si>
  <si>
    <t>FD</t>
  </si>
  <si>
    <t>Tes UVR</t>
  </si>
  <si>
    <t>Tes TF</t>
  </si>
  <si>
    <t>Multa por quitar arrendadores</t>
  </si>
  <si>
    <t>Margen KTNO (Productividad del capital de trabajo)</t>
  </si>
  <si>
    <t>Razón de cobertura de intereses (EBIT / gastos financieros)</t>
  </si>
  <si>
    <t>Apalancamiento financiero (Deuda / EBITDA)</t>
  </si>
  <si>
    <t>Servicio a la deuda</t>
  </si>
  <si>
    <t>Debt Service Coverage Ratio (FCL / Servicio a la deuda)</t>
  </si>
  <si>
    <t>CAGR</t>
  </si>
  <si>
    <t>Deuda</t>
  </si>
  <si>
    <t>VPN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</si>
</sst>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$&quot;* #,##0_-;\-&quot;$&quot;* #,##0_-;_-&quot;$&quot;* &quot;-&quot;_-;_-@_-"/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\$\ #,##0.0"/>
    <numFmt numFmtId="165" formatCode="0.0%"/>
    <numFmt numFmtId="166" formatCode="&quot;$&quot;#,##0"/>
    <numFmt numFmtId="167" formatCode="_-* #,##0_-;\-* #,##0_-;_-* &quot;-&quot;??_-;_-@_-"/>
    <numFmt numFmtId="168" formatCode="0.000%"/>
    <numFmt numFmtId="169" formatCode="0.0\x"/>
    <numFmt numFmtId="170" formatCode="_-&quot;$&quot;* #,##0_-;\-&quot;$&quot;* #,##0_-;_-&quot;$&quot;* &quot;-&quot;??_-;_-@_-"/>
    <numFmt numFmtId="171" formatCode="0.0"/>
    <numFmt numFmtId="172" formatCode="_-* #,##0.00_-;\-* #,##0.00_-;_-* &quot;-&quot;_-;_-@_-"/>
  </numFmts>
  <fonts count="2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u/>
      <sz val="11"/>
      <color theme="10"/>
      <name val="Calibri"/>
      <family val="2"/>
      <charset val="1"/>
    </font>
    <font>
      <u/>
      <sz val="12"/>
      <color theme="10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 Nova Cond"/>
      <family val="2"/>
    </font>
    <font>
      <sz val="10"/>
      <color theme="1"/>
      <name val="Arial Nova Cond"/>
      <family val="2"/>
    </font>
    <font>
      <sz val="10"/>
      <color rgb="FFFF0000"/>
      <name val="Arial Nova Cond"/>
      <family val="2"/>
    </font>
    <font>
      <b/>
      <sz val="12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EEF2F7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1"/>
        <bgColor indexed="64"/>
      </patternFill>
    </fill>
  </fills>
  <borders count="2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43" fontId="2" fillId="0" borderId="0" applyFont="0" applyFill="0" applyBorder="0" applyAlignment="0" applyProtection="0"/>
    <xf numFmtId="0" fontId="1" fillId="0" borderId="0"/>
  </cellStyleXfs>
  <cellXfs count="145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0" fontId="7" fillId="0" borderId="0" xfId="0" applyFont="1"/>
    <xf numFmtId="9" fontId="0" fillId="0" borderId="0" xfId="2" applyFont="1"/>
    <xf numFmtId="165" fontId="0" fillId="0" borderId="0" xfId="2" applyNumberFormat="1" applyFont="1"/>
    <xf numFmtId="10" fontId="0" fillId="0" borderId="0" xfId="2" applyNumberFormat="1" applyFont="1"/>
    <xf numFmtId="0" fontId="6" fillId="4" borderId="2" xfId="0" applyFont="1" applyFill="1" applyBorder="1" applyAlignment="1">
      <alignment horizontal="left" vertical="center"/>
    </xf>
    <xf numFmtId="42" fontId="0" fillId="0" borderId="0" xfId="1" applyFont="1"/>
    <xf numFmtId="166" fontId="0" fillId="0" borderId="0" xfId="0" applyNumberFormat="1"/>
    <xf numFmtId="0" fontId="4" fillId="2" borderId="3" xfId="0" applyFont="1" applyFill="1" applyBorder="1" applyAlignment="1">
      <alignment horizontal="center" vertical="center" wrapText="1"/>
    </xf>
    <xf numFmtId="42" fontId="5" fillId="3" borderId="1" xfId="1" applyFont="1" applyFill="1" applyBorder="1" applyAlignment="1">
      <alignment horizontal="right" vertical="center"/>
    </xf>
    <xf numFmtId="42" fontId="5" fillId="0" borderId="1" xfId="1" applyFont="1" applyBorder="1" applyAlignment="1">
      <alignment horizontal="right" vertical="center"/>
    </xf>
    <xf numFmtId="42" fontId="6" fillId="4" borderId="2" xfId="1" applyFont="1" applyFill="1" applyBorder="1" applyAlignment="1">
      <alignment horizontal="right" vertical="center"/>
    </xf>
    <xf numFmtId="166" fontId="0" fillId="0" borderId="0" xfId="2" applyNumberFormat="1" applyFont="1"/>
    <xf numFmtId="42" fontId="0" fillId="0" borderId="0" xfId="0" applyNumberFormat="1"/>
    <xf numFmtId="0" fontId="8" fillId="0" borderId="0" xfId="0" applyFont="1"/>
    <xf numFmtId="0" fontId="4" fillId="2" borderId="0" xfId="0" applyFont="1" applyFill="1" applyAlignment="1">
      <alignment horizontal="center" vertical="center" wrapText="1"/>
    </xf>
    <xf numFmtId="42" fontId="6" fillId="4" borderId="0" xfId="1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9" fontId="5" fillId="3" borderId="0" xfId="2" applyFont="1" applyFill="1" applyBorder="1" applyAlignment="1">
      <alignment horizontal="right" vertical="center"/>
    </xf>
    <xf numFmtId="9" fontId="5" fillId="0" borderId="0" xfId="2" applyFont="1" applyBorder="1" applyAlignment="1">
      <alignment horizontal="right" vertical="center"/>
    </xf>
    <xf numFmtId="1" fontId="5" fillId="3" borderId="0" xfId="1" applyNumberFormat="1" applyFont="1" applyFill="1" applyBorder="1" applyAlignment="1">
      <alignment horizontal="right" vertical="center"/>
    </xf>
    <xf numFmtId="1" fontId="5" fillId="0" borderId="0" xfId="1" applyNumberFormat="1" applyFont="1" applyBorder="1" applyAlignment="1">
      <alignment horizontal="right" vertical="center"/>
    </xf>
    <xf numFmtId="0" fontId="3" fillId="0" borderId="0" xfId="0" applyFont="1"/>
    <xf numFmtId="0" fontId="6" fillId="6" borderId="1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6" borderId="5" xfId="0" applyFont="1" applyFill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9" fontId="0" fillId="0" borderId="0" xfId="0" applyNumberFormat="1"/>
    <xf numFmtId="0" fontId="9" fillId="0" borderId="0" xfId="3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65" fontId="5" fillId="3" borderId="0" xfId="2" applyNumberFormat="1" applyFont="1" applyFill="1" applyBorder="1" applyAlignment="1">
      <alignment horizontal="right" vertical="center"/>
    </xf>
    <xf numFmtId="10" fontId="0" fillId="0" borderId="0" xfId="0" applyNumberFormat="1"/>
    <xf numFmtId="167" fontId="0" fillId="0" borderId="0" xfId="6" applyNumberFormat="1" applyFont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0" fillId="0" borderId="11" xfId="6" applyFont="1" applyBorder="1"/>
    <xf numFmtId="9" fontId="0" fillId="0" borderId="11" xfId="0" applyNumberFormat="1" applyBorder="1"/>
    <xf numFmtId="0" fontId="0" fillId="0" borderId="12" xfId="0" applyBorder="1"/>
    <xf numFmtId="43" fontId="0" fillId="0" borderId="13" xfId="6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1" xfId="0" applyBorder="1"/>
    <xf numFmtId="0" fontId="0" fillId="0" borderId="17" xfId="0" applyBorder="1"/>
    <xf numFmtId="0" fontId="0" fillId="0" borderId="13" xfId="0" applyBorder="1"/>
    <xf numFmtId="14" fontId="0" fillId="0" borderId="0" xfId="0" applyNumberFormat="1"/>
    <xf numFmtId="43" fontId="0" fillId="0" borderId="0" xfId="6" applyFont="1"/>
    <xf numFmtId="168" fontId="0" fillId="0" borderId="0" xfId="0" applyNumberFormat="1"/>
    <xf numFmtId="168" fontId="0" fillId="0" borderId="0" xfId="2" applyNumberFormat="1" applyFont="1"/>
    <xf numFmtId="0" fontId="12" fillId="0" borderId="0" xfId="5"/>
    <xf numFmtId="2" fontId="0" fillId="0" borderId="0" xfId="0" applyNumberFormat="1"/>
    <xf numFmtId="10" fontId="12" fillId="0" borderId="0" xfId="5" applyNumberFormat="1"/>
    <xf numFmtId="0" fontId="16" fillId="0" borderId="0" xfId="0" applyFont="1"/>
    <xf numFmtId="0" fontId="17" fillId="0" borderId="0" xfId="0" applyFont="1"/>
    <xf numFmtId="3" fontId="0" fillId="0" borderId="0" xfId="0" applyNumberFormat="1"/>
    <xf numFmtId="0" fontId="18" fillId="8" borderId="6" xfId="0" applyFont="1" applyFill="1" applyBorder="1"/>
    <xf numFmtId="0" fontId="0" fillId="0" borderId="6" xfId="0" applyBorder="1"/>
    <xf numFmtId="3" fontId="0" fillId="0" borderId="6" xfId="0" applyNumberFormat="1" applyBorder="1"/>
    <xf numFmtId="0" fontId="16" fillId="9" borderId="6" xfId="0" applyFont="1" applyFill="1" applyBorder="1"/>
    <xf numFmtId="3" fontId="16" fillId="9" borderId="6" xfId="0" applyNumberFormat="1" applyFont="1" applyFill="1" applyBorder="1"/>
    <xf numFmtId="0" fontId="18" fillId="8" borderId="0" xfId="0" applyFont="1" applyFill="1"/>
    <xf numFmtId="0" fontId="16" fillId="9" borderId="0" xfId="0" applyFont="1" applyFill="1"/>
    <xf numFmtId="9" fontId="16" fillId="9" borderId="0" xfId="0" applyNumberFormat="1" applyFont="1" applyFill="1"/>
    <xf numFmtId="3" fontId="16" fillId="9" borderId="0" xfId="0" applyNumberFormat="1" applyFont="1" applyFill="1"/>
    <xf numFmtId="0" fontId="0" fillId="10" borderId="0" xfId="0" applyFill="1"/>
    <xf numFmtId="3" fontId="0" fillId="5" borderId="0" xfId="0" applyNumberFormat="1" applyFill="1"/>
    <xf numFmtId="1" fontId="5" fillId="0" borderId="1" xfId="0" applyNumberFormat="1" applyFont="1" applyBorder="1" applyAlignment="1">
      <alignment horizontal="right" vertical="center"/>
    </xf>
    <xf numFmtId="42" fontId="5" fillId="3" borderId="1" xfId="0" applyNumberFormat="1" applyFont="1" applyFill="1" applyBorder="1" applyAlignment="1">
      <alignment horizontal="left" vertical="center"/>
    </xf>
    <xf numFmtId="42" fontId="5" fillId="0" borderId="1" xfId="0" applyNumberFormat="1" applyFont="1" applyBorder="1" applyAlignment="1">
      <alignment horizontal="left" vertical="center"/>
    </xf>
    <xf numFmtId="1" fontId="0" fillId="0" borderId="0" xfId="2" applyNumberFormat="1" applyFont="1"/>
    <xf numFmtId="9" fontId="5" fillId="0" borderId="0" xfId="2" applyFont="1" applyAlignment="1">
      <alignment horizontal="right" vertical="center"/>
    </xf>
    <xf numFmtId="10" fontId="0" fillId="0" borderId="0" xfId="2" applyNumberFormat="1" applyFont="1" applyFill="1"/>
    <xf numFmtId="44" fontId="0" fillId="0" borderId="0" xfId="0" applyNumberFormat="1"/>
    <xf numFmtId="0" fontId="10" fillId="0" borderId="0" xfId="3" applyFont="1"/>
    <xf numFmtId="0" fontId="19" fillId="0" borderId="0" xfId="0" applyFont="1"/>
    <xf numFmtId="0" fontId="16" fillId="0" borderId="0" xfId="7" applyFont="1" applyAlignment="1">
      <alignment horizontal="center"/>
    </xf>
    <xf numFmtId="0" fontId="1" fillId="0" borderId="0" xfId="7"/>
    <xf numFmtId="14" fontId="1" fillId="0" borderId="0" xfId="7" applyNumberFormat="1"/>
    <xf numFmtId="0" fontId="16" fillId="0" borderId="6" xfId="7" applyFont="1" applyBorder="1" applyAlignment="1">
      <alignment horizontal="center"/>
    </xf>
    <xf numFmtId="10" fontId="20" fillId="0" borderId="6" xfId="7" applyNumberFormat="1" applyFont="1" applyBorder="1" applyAlignment="1">
      <alignment horizontal="center" vertical="center" wrapText="1"/>
    </xf>
    <xf numFmtId="10" fontId="1" fillId="0" borderId="6" xfId="7" applyNumberFormat="1" applyBorder="1" applyAlignment="1">
      <alignment horizontal="center"/>
    </xf>
    <xf numFmtId="0" fontId="16" fillId="0" borderId="0" xfId="7" applyFont="1" applyAlignment="1">
      <alignment horizontal="left"/>
    </xf>
    <xf numFmtId="10" fontId="1" fillId="0" borderId="0" xfId="2" applyNumberFormat="1" applyFont="1"/>
    <xf numFmtId="0" fontId="21" fillId="0" borderId="0" xfId="0" applyFont="1"/>
    <xf numFmtId="0" fontId="22" fillId="0" borderId="0" xfId="0" applyFont="1"/>
    <xf numFmtId="10" fontId="23" fillId="0" borderId="18" xfId="2" applyNumberFormat="1" applyFont="1" applyFill="1" applyBorder="1"/>
    <xf numFmtId="9" fontId="22" fillId="0" borderId="0" xfId="2" applyFont="1"/>
    <xf numFmtId="9" fontId="23" fillId="0" borderId="19" xfId="2" applyFont="1" applyBorder="1"/>
    <xf numFmtId="41" fontId="22" fillId="0" borderId="0" xfId="1" applyNumberFormat="1" applyFont="1"/>
    <xf numFmtId="171" fontId="22" fillId="0" borderId="19" xfId="1" applyNumberFormat="1" applyFont="1" applyBorder="1"/>
    <xf numFmtId="42" fontId="22" fillId="0" borderId="0" xfId="1" applyFont="1"/>
    <xf numFmtId="42" fontId="22" fillId="0" borderId="0" xfId="0" applyNumberFormat="1" applyFont="1"/>
    <xf numFmtId="10" fontId="22" fillId="0" borderId="0" xfId="2" applyNumberFormat="1" applyFont="1"/>
    <xf numFmtId="170" fontId="22" fillId="0" borderId="0" xfId="0" applyNumberFormat="1" applyFont="1"/>
    <xf numFmtId="169" fontId="22" fillId="0" borderId="0" xfId="0" applyNumberFormat="1" applyFont="1"/>
    <xf numFmtId="44" fontId="22" fillId="0" borderId="0" xfId="0" applyNumberFormat="1" applyFont="1"/>
    <xf numFmtId="41" fontId="21" fillId="0" borderId="0" xfId="1" applyNumberFormat="1" applyFont="1"/>
    <xf numFmtId="170" fontId="21" fillId="0" borderId="0" xfId="0" applyNumberFormat="1" applyFont="1"/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 wrapText="1"/>
    </xf>
    <xf numFmtId="0" fontId="22" fillId="0" borderId="19" xfId="0" applyFont="1" applyBorder="1" applyAlignment="1">
      <alignment horizontal="left" vertical="center" wrapText="1"/>
    </xf>
    <xf numFmtId="9" fontId="22" fillId="0" borderId="19" xfId="2" applyFont="1" applyBorder="1"/>
    <xf numFmtId="0" fontId="22" fillId="0" borderId="18" xfId="0" applyFont="1" applyBorder="1" applyAlignment="1">
      <alignment horizontal="left" vertical="center" wrapText="1"/>
    </xf>
    <xf numFmtId="10" fontId="22" fillId="0" borderId="18" xfId="2" applyNumberFormat="1" applyFont="1" applyFill="1" applyBorder="1"/>
    <xf numFmtId="171" fontId="22" fillId="0" borderId="0" xfId="1" applyNumberFormat="1" applyFont="1" applyBorder="1"/>
    <xf numFmtId="0" fontId="21" fillId="0" borderId="19" xfId="0" applyFont="1" applyBorder="1" applyAlignment="1">
      <alignment horizontal="left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19" xfId="0" applyFont="1" applyBorder="1"/>
    <xf numFmtId="0" fontId="23" fillId="0" borderId="0" xfId="0" applyFont="1"/>
    <xf numFmtId="0" fontId="23" fillId="0" borderId="19" xfId="0" applyFont="1" applyBorder="1"/>
    <xf numFmtId="41" fontId="22" fillId="0" borderId="0" xfId="0" applyNumberFormat="1" applyFont="1"/>
    <xf numFmtId="41" fontId="21" fillId="0" borderId="0" xfId="0" applyNumberFormat="1" applyFont="1"/>
    <xf numFmtId="2" fontId="22" fillId="0" borderId="0" xfId="1" applyNumberFormat="1" applyFont="1"/>
    <xf numFmtId="0" fontId="21" fillId="0" borderId="20" xfId="0" applyFont="1" applyBorder="1" applyAlignment="1">
      <alignment horizontal="left" vertical="center" wrapText="1"/>
    </xf>
    <xf numFmtId="41" fontId="21" fillId="0" borderId="21" xfId="1" applyNumberFormat="1" applyFont="1" applyBorder="1"/>
    <xf numFmtId="0" fontId="21" fillId="0" borderId="22" xfId="0" applyFont="1" applyBorder="1" applyAlignment="1">
      <alignment horizontal="left" vertical="center" wrapText="1"/>
    </xf>
    <xf numFmtId="10" fontId="21" fillId="0" borderId="23" xfId="1" applyNumberFormat="1" applyFont="1" applyBorder="1"/>
    <xf numFmtId="41" fontId="21" fillId="0" borderId="23" xfId="1" applyNumberFormat="1" applyFont="1" applyBorder="1"/>
    <xf numFmtId="0" fontId="22" fillId="0" borderId="22" xfId="0" applyFont="1" applyBorder="1" applyAlignment="1">
      <alignment horizontal="left" vertical="center" wrapText="1"/>
    </xf>
    <xf numFmtId="41" fontId="22" fillId="0" borderId="23" xfId="1" applyNumberFormat="1" applyFont="1" applyBorder="1"/>
    <xf numFmtId="0" fontId="21" fillId="0" borderId="24" xfId="0" applyFont="1" applyBorder="1" applyAlignment="1">
      <alignment horizontal="left" vertical="center" wrapText="1"/>
    </xf>
    <xf numFmtId="172" fontId="21" fillId="0" borderId="25" xfId="1" applyNumberFormat="1" applyFont="1" applyBorder="1"/>
    <xf numFmtId="0" fontId="24" fillId="0" borderId="0" xfId="0" applyFont="1"/>
    <xf numFmtId="41" fontId="0" fillId="0" borderId="0" xfId="0" applyNumberFormat="1"/>
    <xf numFmtId="0" fontId="3" fillId="0" borderId="7" xfId="0" applyFont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 wrapText="1"/>
    </xf>
    <xf numFmtId="0" fontId="3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</cellXfs>
  <cellStyles count="8">
    <cellStyle name="Comma" xfId="6" builtinId="3"/>
    <cellStyle name="Currency [0]" xfId="1" builtinId="7"/>
    <cellStyle name="Hipervínculo 2" xfId="4" xr:uid="{65A2168F-9865-482A-A5D0-89CC7EF8D6B9}"/>
    <cellStyle name="Hyperlink" xfId="5" builtinId="8"/>
    <cellStyle name="Normal" xfId="0" builtinId="0"/>
    <cellStyle name="Normal 2" xfId="3" xr:uid="{5F764FE4-05BF-42AD-B45F-C0F9C4A19278}"/>
    <cellStyle name="Normal 3" xfId="7" xr:uid="{8CBA8765-4879-45E0-BDA6-5E18BF37BF1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u="none"/>
              <a:t>EVA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EVA</c:v>
          </c:tx>
          <c:spPr>
            <a:ln w="12700" cap="rnd">
              <a:gradFill flip="none" rotWithShape="1">
                <a:gsLst>
                  <a:gs pos="50000">
                    <a:schemeClr val="accent1">
                      <a:lumMod val="89000"/>
                      <a:alpha val="92000"/>
                    </a:schemeClr>
                  </a:gs>
                  <a:gs pos="23000">
                    <a:schemeClr val="accent1">
                      <a:lumMod val="89000"/>
                    </a:schemeClr>
                  </a:gs>
                  <a:gs pos="69000">
                    <a:schemeClr val="accent1">
                      <a:lumMod val="75000"/>
                    </a:schemeClr>
                  </a:gs>
                  <a:gs pos="97000">
                    <a:schemeClr val="accent1">
                      <a:lumMod val="70000"/>
                    </a:schemeClr>
                  </a:gs>
                </a:gsLst>
                <a:path path="circle">
                  <a:fillToRect l="50000" t="50000" r="50000" b="50000"/>
                </a:path>
                <a:tileRect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resultados'!$D$56:$N$56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resultados'!$D$81:$M$81</c:f>
              <c:numCache>
                <c:formatCode>_("$"* #,##0.00_);_("$"* \(#,##0.00\);_("$"* "-"??_);_(@_)</c:formatCode>
                <c:ptCount val="10"/>
                <c:pt idx="0">
                  <c:v>-4537382172.0865593</c:v>
                </c:pt>
                <c:pt idx="1">
                  <c:v>-4288770115.0757961</c:v>
                </c:pt>
                <c:pt idx="2">
                  <c:v>-4026219607.0465951</c:v>
                </c:pt>
                <c:pt idx="3">
                  <c:v>-2590039570.6906028</c:v>
                </c:pt>
                <c:pt idx="4">
                  <c:v>-2232826158.6118975</c:v>
                </c:pt>
                <c:pt idx="5">
                  <c:v>-1850472085.5217094</c:v>
                </c:pt>
                <c:pt idx="6">
                  <c:v>985193224.21727324</c:v>
                </c:pt>
                <c:pt idx="7">
                  <c:v>1691721194.5583274</c:v>
                </c:pt>
                <c:pt idx="8">
                  <c:v>2464663126.0943112</c:v>
                </c:pt>
                <c:pt idx="9">
                  <c:v>3308419179.9761243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C8-4540-BE71-2C91A9EC15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73123520"/>
        <c:axId val="573118592"/>
      </c:lineChart>
      <c:catAx>
        <c:axId val="57312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18592"/>
        <c:crosses val="autoZero"/>
        <c:auto val="1"/>
        <c:lblAlgn val="ctr"/>
        <c:lblOffset val="100"/>
        <c:noMultiLvlLbl val="0"/>
      </c:catAx>
      <c:valAx>
        <c:axId val="57311859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3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ROIC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resultados'!$D$56:$N$56</c:f>
              <c:strCache>
                <c:ptCount val="11"/>
                <c:pt idx="0">
                  <c:v>Año 1</c:v>
                </c:pt>
                <c:pt idx="1">
                  <c:v>Año 2</c:v>
                </c:pt>
                <c:pt idx="2">
                  <c:v>Año 3</c:v>
                </c:pt>
                <c:pt idx="3">
                  <c:v>Año 4</c:v>
                </c:pt>
                <c:pt idx="4">
                  <c:v>Año 5</c:v>
                </c:pt>
                <c:pt idx="5">
                  <c:v>Año 6</c:v>
                </c:pt>
                <c:pt idx="6">
                  <c:v>Año 7</c:v>
                </c:pt>
                <c:pt idx="7">
                  <c:v>Año 8</c:v>
                </c:pt>
                <c:pt idx="8">
                  <c:v>Año 9</c:v>
                </c:pt>
                <c:pt idx="9">
                  <c:v>Año 10</c:v>
                </c:pt>
                <c:pt idx="10">
                  <c:v>Año 11</c:v>
                </c:pt>
              </c:strCache>
            </c:strRef>
          </c:cat>
          <c:val>
            <c:numRef>
              <c:f>'Estado de resultados'!$D$74:$M$74</c:f>
              <c:numCache>
                <c:formatCode>0.00%</c:formatCode>
                <c:ptCount val="10"/>
                <c:pt idx="0">
                  <c:v>-9.9112649195845379E-2</c:v>
                </c:pt>
                <c:pt idx="1">
                  <c:v>-9.5514451799863939E-2</c:v>
                </c:pt>
                <c:pt idx="2">
                  <c:v>-8.9812571186497631E-2</c:v>
                </c:pt>
                <c:pt idx="3">
                  <c:v>2.1598720114278696E-2</c:v>
                </c:pt>
                <c:pt idx="4">
                  <c:v>3.9944897285947578E-2</c:v>
                </c:pt>
                <c:pt idx="5">
                  <c:v>6.214332319060397E-2</c:v>
                </c:pt>
                <c:pt idx="6">
                  <c:v>0.28008877456152603</c:v>
                </c:pt>
                <c:pt idx="7">
                  <c:v>0.33655043504232046</c:v>
                </c:pt>
                <c:pt idx="8">
                  <c:v>0.40181765725438112</c:v>
                </c:pt>
                <c:pt idx="9">
                  <c:v>0.47676143773244462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8-384D-A3D7-737AACA3D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850368"/>
        <c:axId val="573127104"/>
      </c:barChart>
      <c:catAx>
        <c:axId val="3398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3127104"/>
        <c:crosses val="autoZero"/>
        <c:auto val="1"/>
        <c:lblAlgn val="ctr"/>
        <c:lblOffset val="100"/>
        <c:noMultiLvlLbl val="0"/>
      </c:catAx>
      <c:valAx>
        <c:axId val="5731271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resultados'!$D$57:$M$57</c:f>
              <c:numCache>
                <c:formatCode>_(* #,##0_);_(* \(#,##0\);_(* "-"_);_(@_)</c:formatCode>
                <c:ptCount val="10"/>
                <c:pt idx="0">
                  <c:v>32500000</c:v>
                </c:pt>
                <c:pt idx="1">
                  <c:v>147368969.99999928</c:v>
                </c:pt>
                <c:pt idx="2">
                  <c:v>283050105.08417845</c:v>
                </c:pt>
                <c:pt idx="3">
                  <c:v>1963061908.0260935</c:v>
                </c:pt>
                <c:pt idx="4">
                  <c:v>2319329617.2076492</c:v>
                </c:pt>
                <c:pt idx="5">
                  <c:v>2717939213.3545928</c:v>
                </c:pt>
                <c:pt idx="6">
                  <c:v>7338253413.9673605</c:v>
                </c:pt>
                <c:pt idx="7">
                  <c:v>8280768171.0805149</c:v>
                </c:pt>
                <c:pt idx="8">
                  <c:v>9335642517.606102</c:v>
                </c:pt>
                <c:pt idx="9">
                  <c:v>10507947051.765104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04-4244-80C2-D217F3E3FDD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41375424"/>
        <c:axId val="578648512"/>
      </c:lineChart>
      <c:catAx>
        <c:axId val="34137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78648512"/>
        <c:crosses val="autoZero"/>
        <c:auto val="1"/>
        <c:lblAlgn val="ctr"/>
        <c:lblOffset val="100"/>
        <c:noMultiLvlLbl val="0"/>
      </c:catAx>
      <c:valAx>
        <c:axId val="578648512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37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KTNO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3.2304110566881102E-2"/>
          <c:y val="0.14544445575537712"/>
          <c:w val="0.93156706951066781"/>
          <c:h val="0.74976401281337712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bg1">
                    <a:lumMod val="85000"/>
                  </a:schemeClr>
                </a:solidFill>
              </a:ln>
              <a:effectLst/>
            </c:spPr>
          </c:marker>
          <c:dLbls>
            <c:numFmt formatCode="#,##0,,;\(#,##0,,\)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resultados'!$D$37:$M$37</c:f>
              <c:numCache>
                <c:formatCode>_(* #,##0_);_(* \(#,##0\);_(* "-"_);_(@_)</c:formatCode>
                <c:ptCount val="10"/>
                <c:pt idx="0">
                  <c:v>1604166666.6666667</c:v>
                </c:pt>
                <c:pt idx="1">
                  <c:v>1759038749.9999998</c:v>
                </c:pt>
                <c:pt idx="2">
                  <c:v>1947056846.2694998</c:v>
                </c:pt>
                <c:pt idx="3">
                  <c:v>3140777955.7184629</c:v>
                </c:pt>
                <c:pt idx="4">
                  <c:v>3334727148.6180854</c:v>
                </c:pt>
                <c:pt idx="5">
                  <c:v>3540160584.3371377</c:v>
                </c:pt>
                <c:pt idx="6">
                  <c:v>5147856749.1138496</c:v>
                </c:pt>
                <c:pt idx="7">
                  <c:v>5494889715.2727957</c:v>
                </c:pt>
                <c:pt idx="8">
                  <c:v>5873844149.7530346</c:v>
                </c:pt>
                <c:pt idx="9">
                  <c:v>6279395096.6673431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E-D846-AB1A-2015D10C01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39851264"/>
        <c:axId val="993818176"/>
      </c:lineChart>
      <c:catAx>
        <c:axId val="33985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993818176"/>
        <c:crosses val="autoZero"/>
        <c:auto val="1"/>
        <c:lblAlgn val="ctr"/>
        <c:lblOffset val="100"/>
        <c:noMultiLvlLbl val="0"/>
      </c:catAx>
      <c:valAx>
        <c:axId val="993818176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985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Palanca de crecimiento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resultados'!$D$80:$M$80</c:f>
              <c:numCache>
                <c:formatCode>0.0\x</c:formatCode>
                <c:ptCount val="10"/>
                <c:pt idx="0">
                  <c:v>2.0259740259740259E-2</c:v>
                </c:pt>
                <c:pt idx="1">
                  <c:v>8.3778125979316442E-2</c:v>
                </c:pt>
                <c:pt idx="2">
                  <c:v>0.14537331338142159</c:v>
                </c:pt>
                <c:pt idx="3">
                  <c:v>0.62502409775639067</c:v>
                </c:pt>
                <c:pt idx="4">
                  <c:v>0.69550806223195261</c:v>
                </c:pt>
                <c:pt idx="5">
                  <c:v>0.76774461175000674</c:v>
                </c:pt>
                <c:pt idx="6">
                  <c:v>1.4254968177252729</c:v>
                </c:pt>
                <c:pt idx="7">
                  <c:v>1.5069944257597192</c:v>
                </c:pt>
                <c:pt idx="8">
                  <c:v>1.5893582259921926</c:v>
                </c:pt>
                <c:pt idx="9">
                  <c:v>1.673401162054921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0A-984B-8D10-B8567A66AC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10368"/>
        <c:axId val="338408128"/>
      </c:barChart>
      <c:catAx>
        <c:axId val="33841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8128"/>
        <c:crosses val="autoZero"/>
        <c:auto val="1"/>
        <c:lblAlgn val="ctr"/>
        <c:lblOffset val="100"/>
        <c:noMultiLvlLbl val="0"/>
      </c:catAx>
      <c:valAx>
        <c:axId val="338408128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resultados'!$D$77:$M$77</c:f>
              <c:numCache>
                <c:formatCode>0.00%</c:formatCode>
                <c:ptCount val="10"/>
                <c:pt idx="0">
                  <c:v>5.0000000000000001E-3</c:v>
                </c:pt>
                <c:pt idx="1">
                  <c:v>2.0696767001114731E-2</c:v>
                </c:pt>
                <c:pt idx="2">
                  <c:v>3.5948895674793403E-2</c:v>
                </c:pt>
                <c:pt idx="3">
                  <c:v>0.15067767296076082</c:v>
                </c:pt>
                <c:pt idx="4">
                  <c:v>0.16170292406586151</c:v>
                </c:pt>
                <c:pt idx="5">
                  <c:v>0.17243781831503241</c:v>
                </c:pt>
                <c:pt idx="6">
                  <c:v>0.2549796516900335</c:v>
                </c:pt>
                <c:pt idx="7">
                  <c:v>0.26272164724467612</c:v>
                </c:pt>
                <c:pt idx="8">
                  <c:v>0.27028077964070146</c:v>
                </c:pt>
                <c:pt idx="9">
                  <c:v>0.27766208854838603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91-3A4F-B4F3-5140B23001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80779328"/>
        <c:axId val="333353792"/>
      </c:barChart>
      <c:catAx>
        <c:axId val="58077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3353792"/>
        <c:crosses val="autoZero"/>
        <c:auto val="1"/>
        <c:lblAlgn val="ctr"/>
        <c:lblOffset val="100"/>
        <c:noMultiLvlLbl val="0"/>
      </c:catAx>
      <c:valAx>
        <c:axId val="33335379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5807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</a:t>
            </a:r>
            <a:r>
              <a:rPr lang="en-US" baseline="0"/>
              <a:t> bruto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resultados'!$D$75:$M$75</c:f>
              <c:numCache>
                <c:formatCode>0.00%</c:formatCode>
                <c:ptCount val="10"/>
                <c:pt idx="0">
                  <c:v>0.59115384615384614</c:v>
                </c:pt>
                <c:pt idx="1">
                  <c:v>0.59717391304347822</c:v>
                </c:pt>
                <c:pt idx="2">
                  <c:v>0.6030765730104104</c:v>
                </c:pt>
                <c:pt idx="3">
                  <c:v>0.62274058911896824</c:v>
                </c:pt>
                <c:pt idx="4">
                  <c:v>0.62794728750374307</c:v>
                </c:pt>
                <c:pt idx="5">
                  <c:v>0.63306039168496631</c:v>
                </c:pt>
                <c:pt idx="6">
                  <c:v>0.64809418697695165</c:v>
                </c:pt>
                <c:pt idx="7">
                  <c:v>0.65268738182140873</c:v>
                </c:pt>
                <c:pt idx="8">
                  <c:v>0.65720419469068458</c:v>
                </c:pt>
                <c:pt idx="9">
                  <c:v>0.66164606444208962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D6-8541-8607-762F45383D0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1724224"/>
        <c:axId val="341725568"/>
      </c:barChart>
      <c:catAx>
        <c:axId val="34172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5568"/>
        <c:crosses val="autoZero"/>
        <c:auto val="1"/>
        <c:lblAlgn val="ctr"/>
        <c:lblOffset val="100"/>
        <c:noMultiLvlLbl val="0"/>
      </c:catAx>
      <c:valAx>
        <c:axId val="34172556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4172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Margen EBIT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resultados'!$D$76:$M$76</c:f>
              <c:numCache>
                <c:formatCode>0.00%</c:formatCode>
                <c:ptCount val="10"/>
                <c:pt idx="0">
                  <c:v>-0.22573846153846153</c:v>
                </c:pt>
                <c:pt idx="1">
                  <c:v>-0.18993788117666668</c:v>
                </c:pt>
                <c:pt idx="2">
                  <c:v>-0.15453382369046034</c:v>
                </c:pt>
                <c:pt idx="3">
                  <c:v>3.555834178603294E-2</c:v>
                </c:pt>
                <c:pt idx="4">
                  <c:v>5.7137344548982463E-2</c:v>
                </c:pt>
                <c:pt idx="5">
                  <c:v>7.7284019937884973E-2</c:v>
                </c:pt>
                <c:pt idx="6">
                  <c:v>0.20286664059166626</c:v>
                </c:pt>
                <c:pt idx="7">
                  <c:v>0.21513790641328051</c:v>
                </c:pt>
                <c:pt idx="8">
                  <c:v>0.22685933194273727</c:v>
                </c:pt>
                <c:pt idx="9">
                  <c:v>0.23803135969589176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8-2B40-85FB-62ABB3BFE7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365504"/>
        <c:axId val="338376704"/>
      </c:barChart>
      <c:catAx>
        <c:axId val="33836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76704"/>
        <c:crosses val="autoZero"/>
        <c:auto val="1"/>
        <c:lblAlgn val="ctr"/>
        <c:lblOffset val="100"/>
        <c:noMultiLvlLbl val="0"/>
      </c:catAx>
      <c:valAx>
        <c:axId val="33837670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36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Productividad</a:t>
            </a:r>
            <a:r>
              <a:rPr lang="en-US" baseline="0"/>
              <a:t> del capital de trabajo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resultados'!$D$78:$M$78</c:f>
              <c:numCache>
                <c:formatCode>0.00%</c:formatCode>
                <c:ptCount val="10"/>
                <c:pt idx="0">
                  <c:v>0.24679487179487181</c:v>
                </c:pt>
                <c:pt idx="1">
                  <c:v>0.24704261117304596</c:v>
                </c:pt>
                <c:pt idx="2">
                  <c:v>0.24728676012544951</c:v>
                </c:pt>
                <c:pt idx="3">
                  <c:v>0.24107498175132591</c:v>
                </c:pt>
                <c:pt idx="4">
                  <c:v>0.232496117366262</c:v>
                </c:pt>
                <c:pt idx="5">
                  <c:v>0.22460309805623443</c:v>
                </c:pt>
                <c:pt idx="6">
                  <c:v>0.17887072669647597</c:v>
                </c:pt>
                <c:pt idx="7">
                  <c:v>0.17433485005243504</c:v>
                </c:pt>
                <c:pt idx="8">
                  <c:v>0.17005655189658242</c:v>
                </c:pt>
                <c:pt idx="9">
                  <c:v>0.16592679319489631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B-3548-AA9C-DAD4A4A76C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2675072"/>
        <c:axId val="332665216"/>
      </c:barChart>
      <c:catAx>
        <c:axId val="33267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65216"/>
        <c:crosses val="autoZero"/>
        <c:auto val="1"/>
        <c:lblAlgn val="ctr"/>
        <c:lblOffset val="100"/>
        <c:noMultiLvlLbl val="0"/>
      </c:catAx>
      <c:valAx>
        <c:axId val="33266521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267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intereses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resultados'!$D$83:$M$83</c:f>
              <c:numCache>
                <c:formatCode>0.0\x</c:formatCode>
                <c:ptCount val="10"/>
                <c:pt idx="0">
                  <c:v>-5.0152803733275793</c:v>
                </c:pt>
                <c:pt idx="1">
                  <c:v>-4.8027578181239017</c:v>
                </c:pt>
                <c:pt idx="2">
                  <c:v>-4.8219034801926153</c:v>
                </c:pt>
                <c:pt idx="3">
                  <c:v>2.0766487392666613</c:v>
                </c:pt>
                <c:pt idx="4">
                  <c:v>4.2281955994565168</c:v>
                </c:pt>
                <c:pt idx="5">
                  <c:v>7.4020275350407614</c:v>
                </c:pt>
                <c:pt idx="6">
                  <c:v>43.148170023864985</c:v>
                </c:pt>
                <c:pt idx="7">
                  <c:v>63.938139403274825</c:v>
                </c:pt>
                <c:pt idx="8">
                  <c:v>102.03112860235197</c:v>
                </c:pt>
                <c:pt idx="9">
                  <c:v>246.32117826629172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3-004D-99C9-EC5AD6581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19404800"/>
        <c:axId val="419404352"/>
      </c:barChart>
      <c:catAx>
        <c:axId val="41940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352"/>
        <c:crosses val="autoZero"/>
        <c:auto val="1"/>
        <c:lblAlgn val="ctr"/>
        <c:lblOffset val="100"/>
        <c:noMultiLvlLbl val="0"/>
      </c:catAx>
      <c:valAx>
        <c:axId val="419404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41940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Razón de cobertura de servicio a la deuda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resultados'!$D$85:$M$85</c:f>
              <c:numCache>
                <c:formatCode>0.0\x</c:formatCode>
                <c:ptCount val="10"/>
                <c:pt idx="0">
                  <c:v>-5.3720091233875236</c:v>
                </c:pt>
                <c:pt idx="1">
                  <c:v>-1.7796983137512774E-2</c:v>
                </c:pt>
                <c:pt idx="2">
                  <c:v>0.24221968810427991</c:v>
                </c:pt>
                <c:pt idx="3">
                  <c:v>1.6723494228458595</c:v>
                </c:pt>
                <c:pt idx="4">
                  <c:v>5.5075131359650555</c:v>
                </c:pt>
                <c:pt idx="5">
                  <c:v>6.8495537354291658</c:v>
                </c:pt>
                <c:pt idx="6">
                  <c:v>13.392450045695844</c:v>
                </c:pt>
                <c:pt idx="7">
                  <c:v>22.598172099598589</c:v>
                </c:pt>
                <c:pt idx="8">
                  <c:v>28.66321413154704</c:v>
                </c:pt>
                <c:pt idx="9">
                  <c:v>21.952580647423211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A-E245-AA4D-246CBA776B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8405440"/>
        <c:axId val="338406336"/>
      </c:barChart>
      <c:catAx>
        <c:axId val="3384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6336"/>
        <c:crosses val="autoZero"/>
        <c:auto val="1"/>
        <c:lblAlgn val="ctr"/>
        <c:lblOffset val="100"/>
        <c:noMultiLvlLbl val="0"/>
      </c:catAx>
      <c:valAx>
        <c:axId val="338406336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33840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Apalancamiento</a:t>
            </a:r>
            <a:r>
              <a:rPr lang="en-US" baseline="0"/>
              <a:t> financiero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2">
                    <a:lumMod val="89000"/>
                  </a:schemeClr>
                </a:gs>
                <a:gs pos="23000">
                  <a:schemeClr val="accent2">
                    <a:lumMod val="89000"/>
                  </a:schemeClr>
                </a:gs>
                <a:gs pos="69000">
                  <a:schemeClr val="accent2">
                    <a:lumMod val="75000"/>
                  </a:schemeClr>
                </a:gs>
                <a:gs pos="97000">
                  <a:schemeClr val="accent2">
                    <a:lumMod val="70000"/>
                  </a:schemeClr>
                </a:gs>
              </a:gsLst>
              <a:path path="circle">
                <a:fillToRect l="50000" t="50000" r="50000" b="50000"/>
              </a:path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'Estado de resultados'!$C$56:$N$56</c:f>
              <c:strCache>
                <c:ptCount val="12"/>
                <c:pt idx="0">
                  <c:v>Año 0</c:v>
                </c:pt>
                <c:pt idx="1">
                  <c:v>Año 1</c:v>
                </c:pt>
                <c:pt idx="2">
                  <c:v>Año 2</c:v>
                </c:pt>
                <c:pt idx="3">
                  <c:v>Año 3</c:v>
                </c:pt>
                <c:pt idx="4">
                  <c:v>Año 4</c:v>
                </c:pt>
                <c:pt idx="5">
                  <c:v>Año 5</c:v>
                </c:pt>
                <c:pt idx="6">
                  <c:v>Año 6</c:v>
                </c:pt>
                <c:pt idx="7">
                  <c:v>Año 7</c:v>
                </c:pt>
                <c:pt idx="8">
                  <c:v>Año 8</c:v>
                </c:pt>
                <c:pt idx="9">
                  <c:v>Año 9</c:v>
                </c:pt>
                <c:pt idx="10">
                  <c:v>Año 10</c:v>
                </c:pt>
                <c:pt idx="11">
                  <c:v>Año 11</c:v>
                </c:pt>
              </c:strCache>
            </c:strRef>
          </c:cat>
          <c:val>
            <c:numRef>
              <c:f>'Estado de resultados'!$D$87:$M$87</c:f>
              <c:numCache>
                <c:formatCode>0.0\x</c:formatCode>
                <c:ptCount val="10"/>
                <c:pt idx="0">
                  <c:v>43.07692307692308</c:v>
                </c:pt>
                <c:pt idx="1">
                  <c:v>8.5499681513686774</c:v>
                </c:pt>
                <c:pt idx="2">
                  <c:v>3.9568966055211834</c:v>
                </c:pt>
                <c:pt idx="3">
                  <c:v>0.49922011934173477</c:v>
                </c:pt>
                <c:pt idx="4">
                  <c:v>0.36217361851797319</c:v>
                </c:pt>
                <c:pt idx="5">
                  <c:v>0.25754807045004924</c:v>
                </c:pt>
                <c:pt idx="6">
                  <c:v>7.6312436816929313E-2</c:v>
                </c:pt>
                <c:pt idx="7">
                  <c:v>5.071993217571219E-2</c:v>
                </c:pt>
                <c:pt idx="8">
                  <c:v>2.9992579457916002E-2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F-2242-8A13-54BF640F1B0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7113728"/>
        <c:axId val="297108352"/>
      </c:barChart>
      <c:catAx>
        <c:axId val="29711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08352"/>
        <c:crosses val="autoZero"/>
        <c:auto val="1"/>
        <c:lblAlgn val="ctr"/>
        <c:lblOffset val="100"/>
        <c:noMultiLvlLbl val="0"/>
      </c:catAx>
      <c:valAx>
        <c:axId val="297108352"/>
        <c:scaling>
          <c:orientation val="minMax"/>
        </c:scaling>
        <c:delete val="0"/>
        <c:axPos val="l"/>
        <c:numFmt formatCode="0.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297113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6</xdr:col>
      <xdr:colOff>660260</xdr:colOff>
      <xdr:row>33</xdr:row>
      <xdr:rowOff>16565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12D7DA-342E-37D6-7CAF-6774DE725A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629978"/>
          <a:ext cx="8040064" cy="17310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146050</xdr:colOff>
      <xdr:row>89</xdr:row>
      <xdr:rowOff>127000</xdr:rowOff>
    </xdr:from>
    <xdr:to>
      <xdr:col>3</xdr:col>
      <xdr:colOff>412750</xdr:colOff>
      <xdr:row>107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56782-75B4-A217-A054-5C668503D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577850</xdr:colOff>
      <xdr:row>89</xdr:row>
      <xdr:rowOff>139700</xdr:rowOff>
    </xdr:from>
    <xdr:to>
      <xdr:col>6</xdr:col>
      <xdr:colOff>793750</xdr:colOff>
      <xdr:row>107</xdr:row>
      <xdr:rowOff>139700</xdr:rowOff>
    </xdr:to>
    <xdr:graphicFrame macro="">
      <xdr:nvGraphicFramePr>
        <xdr:cNvPr id="142" name="Chart 2">
          <a:extLst>
            <a:ext uri="{FF2B5EF4-FFF2-40B4-BE49-F238E27FC236}">
              <a16:creationId xmlns:a16="http://schemas.microsoft.com/office/drawing/2014/main" id="{977C32D1-A2B3-7BC5-1021-00E76C44D9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971550</xdr:colOff>
      <xdr:row>90</xdr:row>
      <xdr:rowOff>0</xdr:rowOff>
    </xdr:from>
    <xdr:to>
      <xdr:col>10</xdr:col>
      <xdr:colOff>158750</xdr:colOff>
      <xdr:row>108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9E366D-C4F3-B43D-D1AD-EFC1811BA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158750</xdr:colOff>
      <xdr:row>109</xdr:row>
      <xdr:rowOff>63500</xdr:rowOff>
    </xdr:from>
    <xdr:to>
      <xdr:col>3</xdr:col>
      <xdr:colOff>425450</xdr:colOff>
      <xdr:row>127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BF4DB3-C979-26AE-7651-1913EE2F1D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546138</xdr:colOff>
      <xdr:row>109</xdr:row>
      <xdr:rowOff>92710</xdr:rowOff>
    </xdr:from>
    <xdr:to>
      <xdr:col>6</xdr:col>
      <xdr:colOff>758228</xdr:colOff>
      <xdr:row>127</xdr:row>
      <xdr:rowOff>92710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A5CE87-7EE7-7A1B-80B4-55205071DA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996950</xdr:colOff>
      <xdr:row>109</xdr:row>
      <xdr:rowOff>127000</xdr:rowOff>
    </xdr:from>
    <xdr:to>
      <xdr:col>10</xdr:col>
      <xdr:colOff>184150</xdr:colOff>
      <xdr:row>127</xdr:row>
      <xdr:rowOff>127000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FC86406-487B-0962-A74B-84A71E78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438150</xdr:colOff>
      <xdr:row>90</xdr:row>
      <xdr:rowOff>25400</xdr:rowOff>
    </xdr:from>
    <xdr:to>
      <xdr:col>13</xdr:col>
      <xdr:colOff>742950</xdr:colOff>
      <xdr:row>108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EAE8C6-5F47-F69F-E077-F718A4CF7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476250</xdr:colOff>
      <xdr:row>109</xdr:row>
      <xdr:rowOff>101600</xdr:rowOff>
    </xdr:from>
    <xdr:to>
      <xdr:col>13</xdr:col>
      <xdr:colOff>781050</xdr:colOff>
      <xdr:row>127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A16ECD-C9D1-3103-4444-7DDB3D1AF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146050</xdr:colOff>
      <xdr:row>129</xdr:row>
      <xdr:rowOff>12700</xdr:rowOff>
    </xdr:from>
    <xdr:to>
      <xdr:col>3</xdr:col>
      <xdr:colOff>412750</xdr:colOff>
      <xdr:row>147</xdr:row>
      <xdr:rowOff>12700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B9064B-0B18-3848-76C2-F92021C99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565150</xdr:colOff>
      <xdr:row>129</xdr:row>
      <xdr:rowOff>25400</xdr:rowOff>
    </xdr:from>
    <xdr:to>
      <xdr:col>6</xdr:col>
      <xdr:colOff>781050</xdr:colOff>
      <xdr:row>147</xdr:row>
      <xdr:rowOff>25400</xdr:rowOff>
    </xdr:to>
    <xdr:graphicFrame macro="">
      <xdr:nvGraphicFramePr>
        <xdr:cNvPr id="52" name="Chart 93">
          <a:extLst>
            <a:ext uri="{FF2B5EF4-FFF2-40B4-BE49-F238E27FC236}">
              <a16:creationId xmlns:a16="http://schemas.microsoft.com/office/drawing/2014/main" id="{22DF0BD8-9EB8-6A17-00C8-295BF1AFD4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1085850</xdr:colOff>
      <xdr:row>129</xdr:row>
      <xdr:rowOff>76200</xdr:rowOff>
    </xdr:from>
    <xdr:to>
      <xdr:col>10</xdr:col>
      <xdr:colOff>273050</xdr:colOff>
      <xdr:row>147</xdr:row>
      <xdr:rowOff>76200</xdr:rowOff>
    </xdr:to>
    <xdr:graphicFrame macro="">
      <xdr:nvGraphicFramePr>
        <xdr:cNvPr id="104" name="Chart 58">
          <a:extLst>
            <a:ext uri="{FF2B5EF4-FFF2-40B4-BE49-F238E27FC236}">
              <a16:creationId xmlns:a16="http://schemas.microsoft.com/office/drawing/2014/main" id="{4F8DDFA9-C351-F81B-F797-286D8042B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501650</xdr:colOff>
      <xdr:row>129</xdr:row>
      <xdr:rowOff>50800</xdr:rowOff>
    </xdr:from>
    <xdr:to>
      <xdr:col>13</xdr:col>
      <xdr:colOff>806450</xdr:colOff>
      <xdr:row>147</xdr:row>
      <xdr:rowOff>50800</xdr:rowOff>
    </xdr:to>
    <xdr:graphicFrame macro="">
      <xdr:nvGraphicFramePr>
        <xdr:cNvPr id="147" name="Chart 102">
          <a:extLst>
            <a:ext uri="{FF2B5EF4-FFF2-40B4-BE49-F238E27FC236}">
              <a16:creationId xmlns:a16="http://schemas.microsoft.com/office/drawing/2014/main" id="{8415C07B-7D23-1442-97BB-E1A4812DC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6115D-0AB7-EF44-B913-27FB9D61DF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f8186d7-294f-49d9-becb-109d708b844b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www.grupoaval.com/wps/portal/grupo-aval/aval/portal-financiero/indicadores/tasas-intere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grupoaval.com/wps/portal/grupo-aval/aval/portal-financiero/renta-fija/tes/datos-historicos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rupoaval.com/wps/portal/grupo-aval/aval/portal-financiero/renta-fija/tes/curva-rentabilidad" TargetMode="External"/><Relationship Id="rId2" Type="http://schemas.openxmlformats.org/officeDocument/2006/relationships/hyperlink" Target="https://www.grupoaval.com/wps/portal/grupo-aval/aval/portal-financiero/renta-fija/yankees" TargetMode="External"/><Relationship Id="rId1" Type="http://schemas.openxmlformats.org/officeDocument/2006/relationships/hyperlink" Target="https://www.bloomberg.com/markets/rates-bonds/government-bonds/us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8436-0EAC-2B49-A1DA-963BB4B88758}">
  <dimension ref="B1:H41"/>
  <sheetViews>
    <sheetView showGridLines="0" zoomScale="90" zoomScaleNormal="90" workbookViewId="0">
      <selection activeCell="D1" sqref="D1"/>
    </sheetView>
  </sheetViews>
  <sheetFormatPr baseColWidth="10" defaultColWidth="11" defaultRowHeight="16" x14ac:dyDescent="0.2"/>
  <cols>
    <col min="2" max="2" width="47" bestFit="1" customWidth="1"/>
    <col min="3" max="3" width="22.6640625" customWidth="1"/>
    <col min="4" max="4" width="28.83203125" bestFit="1" customWidth="1"/>
    <col min="5" max="5" width="22.83203125" customWidth="1"/>
    <col min="6" max="6" width="29.5" customWidth="1"/>
    <col min="8" max="8" width="32.5" bestFit="1" customWidth="1"/>
    <col min="9" max="9" width="10.1640625" bestFit="1" customWidth="1"/>
    <col min="10" max="10" width="15.33203125" customWidth="1"/>
  </cols>
  <sheetData>
    <row r="1" spans="2:8" ht="372" x14ac:dyDescent="0.2">
      <c r="B1" s="27" t="s">
        <v>149</v>
      </c>
      <c r="C1" t="s">
        <v>160</v>
      </c>
      <c r="H1" s="27"/>
    </row>
    <row r="2" spans="2:8" x14ac:dyDescent="0.2">
      <c r="B2" s="27"/>
      <c r="H2" s="27"/>
    </row>
    <row r="3" spans="2:8" x14ac:dyDescent="0.2">
      <c r="B3" s="138" t="s">
        <v>229</v>
      </c>
      <c r="C3" s="138"/>
      <c r="H3" s="27"/>
    </row>
    <row r="4" spans="2:8" x14ac:dyDescent="0.2">
      <c r="B4" s="1" t="s">
        <v>0</v>
      </c>
      <c r="C4" s="17" t="s">
        <v>1</v>
      </c>
      <c r="D4" s="24" t="s">
        <v>2</v>
      </c>
      <c r="E4" s="24" t="s">
        <v>159</v>
      </c>
      <c r="F4" s="24" t="s">
        <v>4</v>
      </c>
    </row>
    <row r="5" spans="2:8" x14ac:dyDescent="0.2">
      <c r="B5" s="2" t="s">
        <v>5</v>
      </c>
      <c r="C5" s="18">
        <v>8500</v>
      </c>
      <c r="D5" s="28">
        <v>0.1</v>
      </c>
      <c r="E5" s="30">
        <v>20</v>
      </c>
      <c r="F5" s="30" t="s">
        <v>6</v>
      </c>
    </row>
    <row r="6" spans="2:8" x14ac:dyDescent="0.2">
      <c r="B6" s="5" t="s">
        <v>7</v>
      </c>
      <c r="C6" s="19">
        <v>2500</v>
      </c>
      <c r="D6" s="29">
        <v>0.1</v>
      </c>
      <c r="E6" s="31">
        <f>1/D6</f>
        <v>10</v>
      </c>
      <c r="F6" s="31" t="s">
        <v>3</v>
      </c>
    </row>
    <row r="7" spans="2:8" x14ac:dyDescent="0.2">
      <c r="B7" s="2" t="s">
        <v>8</v>
      </c>
      <c r="C7" s="18">
        <v>900</v>
      </c>
      <c r="D7" s="41">
        <v>2.1999999999999999E-2</v>
      </c>
      <c r="E7" s="30">
        <f>1/D7</f>
        <v>45.45454545454546</v>
      </c>
      <c r="F7" s="30" t="s">
        <v>3</v>
      </c>
    </row>
    <row r="8" spans="2:8" x14ac:dyDescent="0.2">
      <c r="B8" s="5" t="s">
        <v>9</v>
      </c>
      <c r="C8" s="19">
        <v>850</v>
      </c>
      <c r="D8" s="29" t="s">
        <v>10</v>
      </c>
      <c r="E8" s="31">
        <v>20</v>
      </c>
      <c r="F8" s="30" t="s">
        <v>6</v>
      </c>
    </row>
    <row r="9" spans="2:8" ht="17" thickBot="1" x14ac:dyDescent="0.25">
      <c r="B9" s="2" t="s">
        <v>11</v>
      </c>
      <c r="C9" s="18">
        <v>1250</v>
      </c>
      <c r="D9" s="28" t="s">
        <v>10</v>
      </c>
      <c r="E9" s="31">
        <v>20</v>
      </c>
      <c r="F9" s="30" t="s">
        <v>6</v>
      </c>
    </row>
    <row r="10" spans="2:8" ht="17" thickBot="1" x14ac:dyDescent="0.25">
      <c r="B10" s="14" t="s">
        <v>230</v>
      </c>
      <c r="C10" s="20">
        <f>SUM(C5:C9)</f>
        <v>14000</v>
      </c>
      <c r="D10" s="25"/>
      <c r="E10" s="25"/>
      <c r="F10" s="25"/>
    </row>
    <row r="11" spans="2:8" x14ac:dyDescent="0.2">
      <c r="B11" s="1" t="s">
        <v>0</v>
      </c>
      <c r="C11" s="17" t="s">
        <v>1</v>
      </c>
      <c r="D11" s="17" t="s">
        <v>277</v>
      </c>
    </row>
    <row r="12" spans="2:8" x14ac:dyDescent="0.2">
      <c r="B12" s="2" t="s">
        <v>13</v>
      </c>
      <c r="C12" s="79">
        <v>5000</v>
      </c>
      <c r="D12" s="2" t="s">
        <v>40</v>
      </c>
    </row>
    <row r="13" spans="2:8" x14ac:dyDescent="0.2">
      <c r="B13" s="5" t="s">
        <v>14</v>
      </c>
      <c r="C13" s="80">
        <v>2500</v>
      </c>
      <c r="D13" s="5" t="s">
        <v>40</v>
      </c>
    </row>
    <row r="14" spans="2:8" ht="17" thickBot="1" x14ac:dyDescent="0.25">
      <c r="B14" s="2" t="s">
        <v>221</v>
      </c>
      <c r="C14" s="79">
        <v>420</v>
      </c>
      <c r="D14" s="2" t="s">
        <v>40</v>
      </c>
    </row>
    <row r="15" spans="2:8" ht="17" thickBot="1" x14ac:dyDescent="0.25">
      <c r="B15" s="14" t="s">
        <v>12</v>
      </c>
      <c r="C15" s="20">
        <f>SUM(C12:C14)</f>
        <v>7920</v>
      </c>
    </row>
    <row r="17" spans="2:5" x14ac:dyDescent="0.2">
      <c r="B17" t="s">
        <v>212</v>
      </c>
      <c r="C17" s="11">
        <v>0.35</v>
      </c>
    </row>
    <row r="18" spans="2:5" ht="17" x14ac:dyDescent="0.2">
      <c r="B18" t="s">
        <v>279</v>
      </c>
      <c r="C18" s="15">
        <v>20000</v>
      </c>
      <c r="D18" t="s">
        <v>20</v>
      </c>
      <c r="E18" s="39" t="s">
        <v>151</v>
      </c>
    </row>
    <row r="19" spans="2:5" ht="17" x14ac:dyDescent="0.2">
      <c r="B19" t="s">
        <v>222</v>
      </c>
      <c r="C19" s="22">
        <f>C20*0.1</f>
        <v>2800</v>
      </c>
      <c r="D19" t="s">
        <v>20</v>
      </c>
      <c r="E19" s="39" t="s">
        <v>268</v>
      </c>
    </row>
    <row r="20" spans="2:5" ht="17" customHeight="1" x14ac:dyDescent="0.2">
      <c r="B20" t="s">
        <v>21</v>
      </c>
      <c r="C20" s="15">
        <v>28000</v>
      </c>
      <c r="D20" t="s">
        <v>20</v>
      </c>
      <c r="E20" s="139" t="s">
        <v>152</v>
      </c>
    </row>
    <row r="21" spans="2:5" ht="17" customHeight="1" x14ac:dyDescent="0.2">
      <c r="B21" t="s">
        <v>22</v>
      </c>
      <c r="C21" s="12">
        <v>5.5E-2</v>
      </c>
      <c r="D21" t="s">
        <v>275</v>
      </c>
      <c r="E21" s="139"/>
    </row>
    <row r="22" spans="2:5" x14ac:dyDescent="0.2">
      <c r="B22" t="s">
        <v>23</v>
      </c>
      <c r="C22" s="16">
        <v>2000000</v>
      </c>
      <c r="D22" t="s">
        <v>24</v>
      </c>
      <c r="E22" s="139"/>
    </row>
    <row r="23" spans="2:5" x14ac:dyDescent="0.2">
      <c r="B23" t="s">
        <v>25</v>
      </c>
      <c r="C23" s="11">
        <v>0.02</v>
      </c>
      <c r="E23" s="139"/>
    </row>
    <row r="24" spans="2:5" ht="17" x14ac:dyDescent="0.2">
      <c r="B24" t="s">
        <v>231</v>
      </c>
      <c r="C24" s="37">
        <v>0.7</v>
      </c>
      <c r="D24" t="s">
        <v>276</v>
      </c>
      <c r="E24" s="39" t="s">
        <v>278</v>
      </c>
    </row>
    <row r="25" spans="2:5" x14ac:dyDescent="0.2">
      <c r="B25" t="s">
        <v>162</v>
      </c>
      <c r="C25" s="11">
        <v>0.25</v>
      </c>
      <c r="D25" t="s">
        <v>280</v>
      </c>
      <c r="E25" s="139" t="s">
        <v>153</v>
      </c>
    </row>
    <row r="26" spans="2:5" ht="17" customHeight="1" x14ac:dyDescent="0.2">
      <c r="B26" t="s">
        <v>26</v>
      </c>
      <c r="C26" s="11">
        <v>0.25</v>
      </c>
      <c r="D26" t="s">
        <v>27</v>
      </c>
      <c r="E26" s="139"/>
    </row>
    <row r="27" spans="2:5" x14ac:dyDescent="0.2">
      <c r="B27" t="s">
        <v>28</v>
      </c>
      <c r="C27" s="11">
        <v>0.05</v>
      </c>
      <c r="D27" t="s">
        <v>27</v>
      </c>
      <c r="E27" s="139"/>
    </row>
    <row r="28" spans="2:5" ht="17" customHeight="1" x14ac:dyDescent="0.2">
      <c r="B28" t="s">
        <v>16</v>
      </c>
      <c r="C28">
        <v>95</v>
      </c>
      <c r="D28" s="40"/>
      <c r="E28" s="139" t="s">
        <v>150</v>
      </c>
    </row>
    <row r="29" spans="2:5" x14ac:dyDescent="0.2">
      <c r="B29" t="s">
        <v>17</v>
      </c>
      <c r="C29" s="78">
        <v>20</v>
      </c>
      <c r="D29" s="40"/>
      <c r="E29" s="139"/>
    </row>
    <row r="30" spans="2:5" x14ac:dyDescent="0.2">
      <c r="B30" t="s">
        <v>29</v>
      </c>
      <c r="C30" s="21">
        <v>6500000</v>
      </c>
      <c r="D30" s="21" t="s">
        <v>20</v>
      </c>
      <c r="E30" s="139"/>
    </row>
    <row r="31" spans="2:5" ht="16" customHeight="1" x14ac:dyDescent="0.2">
      <c r="B31" t="s">
        <v>30</v>
      </c>
      <c r="C31" s="12">
        <v>3.5000000000000003E-2</v>
      </c>
      <c r="D31" s="12"/>
      <c r="E31" s="139"/>
    </row>
    <row r="32" spans="2:5" x14ac:dyDescent="0.2">
      <c r="B32" t="s">
        <v>281</v>
      </c>
      <c r="C32" s="81">
        <v>120</v>
      </c>
      <c r="D32" t="s">
        <v>282</v>
      </c>
      <c r="E32" s="139"/>
    </row>
    <row r="33" spans="2:5" x14ac:dyDescent="0.2">
      <c r="B33" t="s">
        <v>283</v>
      </c>
      <c r="C33" s="82">
        <v>0.02</v>
      </c>
      <c r="D33" s="40"/>
      <c r="E33" s="139"/>
    </row>
    <row r="34" spans="2:5" x14ac:dyDescent="0.2">
      <c r="B34" t="s">
        <v>18</v>
      </c>
      <c r="C34" s="11">
        <v>0.9</v>
      </c>
      <c r="D34" s="11" t="s">
        <v>284</v>
      </c>
      <c r="E34" s="139"/>
    </row>
    <row r="35" spans="2:5" ht="16" customHeight="1" x14ac:dyDescent="0.2">
      <c r="B35" t="s">
        <v>19</v>
      </c>
      <c r="C35" s="37">
        <v>0.1</v>
      </c>
      <c r="D35" t="s">
        <v>285</v>
      </c>
      <c r="E35" s="139"/>
    </row>
    <row r="37" spans="2:5" x14ac:dyDescent="0.2">
      <c r="B37" t="s">
        <v>329</v>
      </c>
      <c r="C37" s="137">
        <f>'Estado de resultados'!$C$66</f>
        <v>-12640745057.294985</v>
      </c>
    </row>
    <row r="38" spans="2:5" ht="16" customHeight="1" x14ac:dyDescent="0.2"/>
    <row r="40" spans="2:5" x14ac:dyDescent="0.2">
      <c r="C40" s="11"/>
      <c r="E40" s="39"/>
    </row>
    <row r="41" spans="2:5" x14ac:dyDescent="0.2">
      <c r="C41" s="11"/>
      <c r="E41" s="39"/>
    </row>
  </sheetData>
  <mergeCells count="4">
    <mergeCell ref="B3:C3"/>
    <mergeCell ref="E28:E35"/>
    <mergeCell ref="E20:E23"/>
    <mergeCell ref="E25:E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C4470-A839-4E40-B424-464F3A5A9F97}">
  <dimension ref="A2:I24"/>
  <sheetViews>
    <sheetView topLeftCell="A4" zoomScale="90" zoomScaleNormal="90" workbookViewId="0">
      <selection activeCell="H4" sqref="H4"/>
    </sheetView>
  </sheetViews>
  <sheetFormatPr baseColWidth="10" defaultColWidth="11" defaultRowHeight="16" x14ac:dyDescent="0.2"/>
  <cols>
    <col min="1" max="1" width="32.6640625" bestFit="1" customWidth="1"/>
    <col min="2" max="2" width="23.33203125" customWidth="1"/>
    <col min="3" max="3" width="22.1640625" customWidth="1"/>
    <col min="4" max="4" width="27.5" customWidth="1"/>
    <col min="5" max="5" width="23.5" customWidth="1"/>
    <col min="7" max="7" width="32.83203125" bestFit="1" customWidth="1"/>
    <col min="8" max="8" width="17" customWidth="1"/>
    <col min="9" max="9" width="19.6640625" customWidth="1"/>
  </cols>
  <sheetData>
    <row r="2" spans="1:9" ht="28" x14ac:dyDescent="0.2">
      <c r="A2" s="1" t="s">
        <v>31</v>
      </c>
      <c r="B2" s="1" t="s">
        <v>32</v>
      </c>
      <c r="C2" s="1" t="s">
        <v>33</v>
      </c>
      <c r="D2" s="26" t="s">
        <v>34</v>
      </c>
      <c r="E2" s="26" t="s">
        <v>35</v>
      </c>
    </row>
    <row r="3" spans="1:9" x14ac:dyDescent="0.2">
      <c r="A3" s="2" t="s">
        <v>36</v>
      </c>
      <c r="B3" s="3">
        <v>1</v>
      </c>
      <c r="C3" s="4">
        <v>15</v>
      </c>
      <c r="D3" s="4">
        <f>C3*12*B3</f>
        <v>180</v>
      </c>
      <c r="E3" s="4" t="s">
        <v>37</v>
      </c>
      <c r="G3" s="2" t="s">
        <v>38</v>
      </c>
      <c r="H3" s="16">
        <f>SUMIF(E3:E17,"SI",D3:D17)*1000000</f>
        <v>300000000</v>
      </c>
      <c r="I3" t="s">
        <v>1</v>
      </c>
    </row>
    <row r="4" spans="1:9" x14ac:dyDescent="0.2">
      <c r="A4" s="5" t="s">
        <v>39</v>
      </c>
      <c r="B4" s="6">
        <v>1</v>
      </c>
      <c r="C4" s="7">
        <v>9.5</v>
      </c>
      <c r="D4" s="4">
        <f t="shared" ref="D4:D17" si="0">C4*12*B4</f>
        <v>114</v>
      </c>
      <c r="E4" s="7" t="s">
        <v>40</v>
      </c>
      <c r="G4" s="2" t="s">
        <v>41</v>
      </c>
      <c r="H4" s="16">
        <f>SUMIF(E3:E17,"NO",D3:D17)*1000000</f>
        <v>1860000000</v>
      </c>
      <c r="I4" t="s">
        <v>1</v>
      </c>
    </row>
    <row r="5" spans="1:9" x14ac:dyDescent="0.2">
      <c r="A5" s="2" t="s">
        <v>42</v>
      </c>
      <c r="B5" s="3">
        <v>1</v>
      </c>
      <c r="C5" s="4">
        <v>3.5</v>
      </c>
      <c r="D5" s="4">
        <f t="shared" si="0"/>
        <v>42</v>
      </c>
      <c r="E5" s="4" t="s">
        <v>37</v>
      </c>
    </row>
    <row r="6" spans="1:9" x14ac:dyDescent="0.2">
      <c r="A6" s="5" t="s">
        <v>43</v>
      </c>
      <c r="B6" s="6">
        <v>1</v>
      </c>
      <c r="C6" s="7">
        <v>15</v>
      </c>
      <c r="D6" s="4">
        <f t="shared" si="0"/>
        <v>180</v>
      </c>
      <c r="E6" s="7" t="s">
        <v>37</v>
      </c>
    </row>
    <row r="7" spans="1:9" x14ac:dyDescent="0.2">
      <c r="A7" s="2" t="s">
        <v>44</v>
      </c>
      <c r="B7" s="3">
        <v>2</v>
      </c>
      <c r="C7" s="4">
        <v>12</v>
      </c>
      <c r="D7" s="4">
        <f t="shared" si="0"/>
        <v>288</v>
      </c>
      <c r="E7" s="4" t="s">
        <v>37</v>
      </c>
    </row>
    <row r="8" spans="1:9" x14ac:dyDescent="0.2">
      <c r="A8" s="5" t="s">
        <v>45</v>
      </c>
      <c r="B8" s="6">
        <v>1</v>
      </c>
      <c r="C8" s="7">
        <v>10</v>
      </c>
      <c r="D8" s="4">
        <f>C8*12*B8</f>
        <v>120</v>
      </c>
      <c r="E8" s="7" t="s">
        <v>37</v>
      </c>
    </row>
    <row r="9" spans="1:9" x14ac:dyDescent="0.2">
      <c r="A9" s="2" t="s">
        <v>46</v>
      </c>
      <c r="B9" s="3">
        <v>1</v>
      </c>
      <c r="C9" s="4">
        <v>7.5</v>
      </c>
      <c r="D9" s="4">
        <f t="shared" si="0"/>
        <v>90</v>
      </c>
      <c r="E9" s="4" t="s">
        <v>40</v>
      </c>
    </row>
    <row r="10" spans="1:9" x14ac:dyDescent="0.2">
      <c r="A10" s="5" t="s">
        <v>47</v>
      </c>
      <c r="B10" s="6">
        <v>2</v>
      </c>
      <c r="C10" s="7">
        <v>4</v>
      </c>
      <c r="D10" s="4">
        <f t="shared" si="0"/>
        <v>96</v>
      </c>
      <c r="E10" s="7" t="s">
        <v>37</v>
      </c>
    </row>
    <row r="11" spans="1:9" x14ac:dyDescent="0.2">
      <c r="A11" s="2" t="s">
        <v>48</v>
      </c>
      <c r="B11" s="3">
        <v>2</v>
      </c>
      <c r="C11" s="4">
        <v>4</v>
      </c>
      <c r="D11" s="4">
        <f t="shared" si="0"/>
        <v>96</v>
      </c>
      <c r="E11" s="4" t="s">
        <v>40</v>
      </c>
    </row>
    <row r="12" spans="1:9" x14ac:dyDescent="0.2">
      <c r="A12" s="5" t="s">
        <v>49</v>
      </c>
      <c r="B12" s="6">
        <v>2</v>
      </c>
      <c r="C12" s="7">
        <v>4</v>
      </c>
      <c r="D12" s="4">
        <f t="shared" si="0"/>
        <v>96</v>
      </c>
      <c r="E12" s="7" t="s">
        <v>37</v>
      </c>
    </row>
    <row r="13" spans="1:9" x14ac:dyDescent="0.2">
      <c r="A13" s="2" t="s">
        <v>50</v>
      </c>
      <c r="B13" s="3">
        <v>3</v>
      </c>
      <c r="C13" s="4">
        <v>3.5</v>
      </c>
      <c r="D13" s="4">
        <f t="shared" si="0"/>
        <v>126</v>
      </c>
      <c r="E13" s="4" t="s">
        <v>37</v>
      </c>
    </row>
    <row r="14" spans="1:9" x14ac:dyDescent="0.2">
      <c r="A14" s="5" t="s">
        <v>51</v>
      </c>
      <c r="B14" s="6">
        <v>1</v>
      </c>
      <c r="C14" s="7">
        <v>8</v>
      </c>
      <c r="D14" s="4">
        <f t="shared" si="0"/>
        <v>96</v>
      </c>
      <c r="E14" s="7" t="s">
        <v>37</v>
      </c>
    </row>
    <row r="15" spans="1:9" x14ac:dyDescent="0.2">
      <c r="A15" s="2" t="s">
        <v>52</v>
      </c>
      <c r="B15" s="3">
        <v>2</v>
      </c>
      <c r="C15" s="4">
        <v>4</v>
      </c>
      <c r="D15" s="4">
        <f t="shared" si="0"/>
        <v>96</v>
      </c>
      <c r="E15" s="4" t="s">
        <v>37</v>
      </c>
    </row>
    <row r="16" spans="1:9" x14ac:dyDescent="0.2">
      <c r="A16" s="5" t="s">
        <v>53</v>
      </c>
      <c r="B16" s="6">
        <v>5</v>
      </c>
      <c r="C16" s="7">
        <v>7</v>
      </c>
      <c r="D16" s="4">
        <f t="shared" si="0"/>
        <v>420</v>
      </c>
      <c r="E16" s="7" t="s">
        <v>37</v>
      </c>
    </row>
    <row r="17" spans="1:5" ht="17" thickBot="1" x14ac:dyDescent="0.25">
      <c r="A17" s="2" t="s">
        <v>54</v>
      </c>
      <c r="B17" s="3">
        <v>4</v>
      </c>
      <c r="C17" s="4">
        <v>2.5</v>
      </c>
      <c r="D17" s="4">
        <f t="shared" si="0"/>
        <v>120</v>
      </c>
      <c r="E17" s="4" t="s">
        <v>37</v>
      </c>
    </row>
    <row r="18" spans="1:5" ht="17" thickBot="1" x14ac:dyDescent="0.25">
      <c r="A18" s="8" t="s">
        <v>12</v>
      </c>
      <c r="B18" s="8">
        <f>SUM(B3:B17)</f>
        <v>29</v>
      </c>
      <c r="C18" s="9">
        <f>SUM(C3:C17)</f>
        <v>109.5</v>
      </c>
      <c r="D18" s="9">
        <f>SUM(D3:D17)</f>
        <v>2160</v>
      </c>
    </row>
    <row r="20" spans="1:5" x14ac:dyDescent="0.2">
      <c r="A20" s="1" t="s">
        <v>55</v>
      </c>
      <c r="B20" s="3">
        <v>4.5</v>
      </c>
    </row>
    <row r="22" spans="1:5" x14ac:dyDescent="0.2">
      <c r="A22" t="s">
        <v>154</v>
      </c>
    </row>
    <row r="24" spans="1:5" x14ac:dyDescent="0.2">
      <c r="A24" t="s">
        <v>155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8FB3-B0AA-4047-8EFD-11093237ECF3}">
  <dimension ref="A4:K17"/>
  <sheetViews>
    <sheetView workbookViewId="0">
      <selection activeCell="B5" sqref="B5"/>
    </sheetView>
  </sheetViews>
  <sheetFormatPr baseColWidth="10" defaultRowHeight="16" x14ac:dyDescent="0.2"/>
  <cols>
    <col min="1" max="1" width="25.5" bestFit="1" customWidth="1"/>
    <col min="2" max="2" width="20.5" customWidth="1"/>
    <col min="3" max="11" width="17.6640625" bestFit="1" customWidth="1"/>
  </cols>
  <sheetData>
    <row r="4" spans="1:11" x14ac:dyDescent="0.2">
      <c r="A4" s="86" t="s">
        <v>300</v>
      </c>
      <c r="B4" s="11">
        <v>0.03</v>
      </c>
    </row>
    <row r="5" spans="1:11" x14ac:dyDescent="0.2">
      <c r="A5" s="136" t="s">
        <v>321</v>
      </c>
    </row>
    <row r="7" spans="1:11" x14ac:dyDescent="0.2">
      <c r="B7" s="10" t="s">
        <v>57</v>
      </c>
      <c r="C7" s="10" t="s">
        <v>58</v>
      </c>
      <c r="D7" s="10" t="s">
        <v>59</v>
      </c>
      <c r="E7" s="10" t="s">
        <v>60</v>
      </c>
      <c r="F7" s="10" t="s">
        <v>61</v>
      </c>
      <c r="G7" s="10" t="s">
        <v>62</v>
      </c>
      <c r="H7" s="10" t="s">
        <v>63</v>
      </c>
      <c r="I7" s="10" t="s">
        <v>64</v>
      </c>
      <c r="J7" s="10" t="s">
        <v>65</v>
      </c>
      <c r="K7" s="10" t="s">
        <v>66</v>
      </c>
    </row>
    <row r="8" spans="1:11" x14ac:dyDescent="0.2">
      <c r="A8" s="86" t="s">
        <v>105</v>
      </c>
      <c r="B8" s="10">
        <v>1</v>
      </c>
      <c r="C8" s="10">
        <v>2</v>
      </c>
      <c r="D8" s="10">
        <v>3</v>
      </c>
      <c r="E8" s="10">
        <v>4</v>
      </c>
      <c r="F8" s="10">
        <v>5</v>
      </c>
      <c r="G8" s="10">
        <v>6</v>
      </c>
      <c r="H8" s="10">
        <v>7</v>
      </c>
      <c r="I8" s="10">
        <v>8</v>
      </c>
      <c r="J8" s="10">
        <v>9</v>
      </c>
      <c r="K8" s="10">
        <v>10</v>
      </c>
    </row>
    <row r="9" spans="1:11" x14ac:dyDescent="0.2">
      <c r="A9" s="10" t="s">
        <v>106</v>
      </c>
      <c r="B9" s="83">
        <v>6.4000000000000001E-2</v>
      </c>
      <c r="C9" s="83">
        <v>3.7000000000000005E-2</v>
      </c>
      <c r="D9" s="83">
        <v>3.5250000000000004E-2</v>
      </c>
      <c r="E9" s="83">
        <v>3.3500000000000002E-2</v>
      </c>
      <c r="F9" s="83">
        <v>3.175E-2</v>
      </c>
      <c r="G9" s="83">
        <v>0.03</v>
      </c>
      <c r="H9" s="83">
        <v>3.7071067811865477E-2</v>
      </c>
      <c r="I9" s="83">
        <v>0.04</v>
      </c>
      <c r="J9" s="83">
        <v>3.7071067811865477E-2</v>
      </c>
      <c r="K9" s="83">
        <v>0.03</v>
      </c>
    </row>
    <row r="10" spans="1:11" x14ac:dyDescent="0.2">
      <c r="A10" s="86" t="s">
        <v>297</v>
      </c>
      <c r="B10" s="22">
        <f>Datos!C19*1000000</f>
        <v>2800000000</v>
      </c>
      <c r="C10" s="84">
        <f>B10*(1+B9)</f>
        <v>2979200000</v>
      </c>
      <c r="D10" s="84">
        <f t="shared" ref="D10:K10" si="0">C10*(1+C9)</f>
        <v>3089430400</v>
      </c>
      <c r="E10" s="84">
        <f t="shared" si="0"/>
        <v>3198332821.5999999</v>
      </c>
      <c r="F10" s="84">
        <f t="shared" si="0"/>
        <v>3305476971.1236</v>
      </c>
      <c r="G10" s="84">
        <f t="shared" si="0"/>
        <v>3410425864.9567742</v>
      </c>
      <c r="H10" s="84">
        <f t="shared" si="0"/>
        <v>3512738640.9054775</v>
      </c>
      <c r="I10" s="84">
        <f t="shared" si="0"/>
        <v>3642959613.2678447</v>
      </c>
      <c r="J10" s="84">
        <f t="shared" si="0"/>
        <v>3788677997.7985587</v>
      </c>
      <c r="K10" s="84">
        <f t="shared" si="0"/>
        <v>3929128336.7722721</v>
      </c>
    </row>
    <row r="11" spans="1:11" x14ac:dyDescent="0.2">
      <c r="B11" s="22">
        <f>B10*$B$4</f>
        <v>84000000</v>
      </c>
      <c r="C11" s="22">
        <f t="shared" ref="C11:K11" si="1">C10*$B$4</f>
        <v>89376000</v>
      </c>
      <c r="D11" s="22">
        <f t="shared" si="1"/>
        <v>92682912</v>
      </c>
      <c r="E11" s="22">
        <f t="shared" si="1"/>
        <v>95949984.647999987</v>
      </c>
      <c r="F11" s="22">
        <f t="shared" si="1"/>
        <v>99164309.133708</v>
      </c>
      <c r="G11" s="22">
        <f t="shared" si="1"/>
        <v>102312775.94870323</v>
      </c>
      <c r="H11" s="22">
        <f t="shared" si="1"/>
        <v>105382159.22716433</v>
      </c>
      <c r="I11" s="22">
        <f t="shared" si="1"/>
        <v>109288788.39803533</v>
      </c>
      <c r="J11" s="22">
        <f t="shared" si="1"/>
        <v>113660339.93395676</v>
      </c>
      <c r="K11" s="22">
        <f t="shared" si="1"/>
        <v>117873850.10316816</v>
      </c>
    </row>
    <row r="12" spans="1:11" x14ac:dyDescent="0.2">
      <c r="A12" s="86" t="s">
        <v>130</v>
      </c>
      <c r="B12" s="22">
        <f>B10-B11</f>
        <v>2716000000</v>
      </c>
      <c r="C12" s="22">
        <f t="shared" ref="C12:K12" si="2">C10-C11</f>
        <v>2889824000</v>
      </c>
      <c r="D12" s="22">
        <f t="shared" si="2"/>
        <v>2996747488</v>
      </c>
      <c r="E12" s="22">
        <f t="shared" si="2"/>
        <v>3102382836.9520001</v>
      </c>
      <c r="F12" s="22">
        <f t="shared" si="2"/>
        <v>3206312661.989892</v>
      </c>
      <c r="G12" s="22">
        <f t="shared" si="2"/>
        <v>3308113089.0080709</v>
      </c>
      <c r="H12" s="22">
        <f t="shared" si="2"/>
        <v>3407356481.6783133</v>
      </c>
      <c r="I12" s="22">
        <f t="shared" si="2"/>
        <v>3533670824.8698092</v>
      </c>
      <c r="J12" s="22">
        <f t="shared" si="2"/>
        <v>3675017657.8646021</v>
      </c>
      <c r="K12" s="22">
        <f t="shared" si="2"/>
        <v>3811254486.6691041</v>
      </c>
    </row>
    <row r="13" spans="1:11" x14ac:dyDescent="0.2">
      <c r="A13" s="86" t="s">
        <v>138</v>
      </c>
      <c r="B13">
        <f>1/(1+B9)^B8</f>
        <v>0.93984962406015038</v>
      </c>
      <c r="C13">
        <f>1/(1+C9)^C8</f>
        <v>0.92991335997225155</v>
      </c>
      <c r="D13">
        <f t="shared" ref="D13:K13" si="3">1/(1+D9)^D8</f>
        <v>0.9012894396101222</v>
      </c>
      <c r="E13">
        <f t="shared" si="3"/>
        <v>0.87651242365348059</v>
      </c>
      <c r="F13">
        <f t="shared" si="3"/>
        <v>0.85531800095521671</v>
      </c>
      <c r="G13">
        <f t="shared" si="3"/>
        <v>0.83748425668365445</v>
      </c>
      <c r="H13">
        <f t="shared" si="3"/>
        <v>0.77506900633738041</v>
      </c>
      <c r="I13">
        <f t="shared" si="3"/>
        <v>0.73069020500198378</v>
      </c>
      <c r="J13">
        <f t="shared" si="3"/>
        <v>0.72064824540008954</v>
      </c>
      <c r="K13">
        <f t="shared" si="3"/>
        <v>0.74409391489672516</v>
      </c>
    </row>
    <row r="14" spans="1:11" x14ac:dyDescent="0.2">
      <c r="A14" s="86" t="s">
        <v>298</v>
      </c>
      <c r="B14" s="22">
        <f>B12*B13</f>
        <v>2552631578.9473686</v>
      </c>
      <c r="C14" s="22">
        <f t="shared" ref="C14:K14" si="4">C12*C13</f>
        <v>2687285945.5684519</v>
      </c>
      <c r="D14" s="22">
        <f t="shared" si="4"/>
        <v>2700936864.1125612</v>
      </c>
      <c r="E14" s="22">
        <f t="shared" si="4"/>
        <v>2719277099.5177584</v>
      </c>
      <c r="F14" s="22">
        <f t="shared" si="4"/>
        <v>2742416936.4905939</v>
      </c>
      <c r="G14" s="22">
        <f t="shared" si="4"/>
        <v>2770492631.3733921</v>
      </c>
      <c r="H14" s="22">
        <f t="shared" si="4"/>
        <v>2640936402.491643</v>
      </c>
      <c r="I14" s="22">
        <f t="shared" si="4"/>
        <v>2582018659.43365</v>
      </c>
      <c r="J14" s="22">
        <f t="shared" si="4"/>
        <v>2648395026.9544721</v>
      </c>
      <c r="K14" s="22">
        <f t="shared" si="4"/>
        <v>2835931271.6533222</v>
      </c>
    </row>
    <row r="16" spans="1:11" x14ac:dyDescent="0.2">
      <c r="A16" s="86" t="s">
        <v>299</v>
      </c>
      <c r="B16" s="22">
        <f>SUM(B14:K14)</f>
        <v>26880322416.543213</v>
      </c>
    </row>
    <row r="17" spans="2:2" x14ac:dyDescent="0.2">
      <c r="B17">
        <v>26880322417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1F8C5-3C10-1D4D-9A7B-E47831434699}">
  <dimension ref="B2:D6"/>
  <sheetViews>
    <sheetView workbookViewId="0">
      <selection activeCell="C6" sqref="C6"/>
    </sheetView>
  </sheetViews>
  <sheetFormatPr baseColWidth="10" defaultColWidth="11" defaultRowHeight="16" x14ac:dyDescent="0.2"/>
  <cols>
    <col min="2" max="2" width="22.5" customWidth="1"/>
    <col min="3" max="3" width="18.5" customWidth="1"/>
    <col min="4" max="4" width="15.1640625" customWidth="1"/>
  </cols>
  <sheetData>
    <row r="2" spans="2:4" x14ac:dyDescent="0.2">
      <c r="B2" t="s">
        <v>69</v>
      </c>
      <c r="C2">
        <v>5000</v>
      </c>
      <c r="D2" t="s">
        <v>70</v>
      </c>
    </row>
    <row r="3" spans="2:4" x14ac:dyDescent="0.2">
      <c r="B3" t="s">
        <v>71</v>
      </c>
      <c r="C3">
        <v>2500</v>
      </c>
      <c r="D3" t="s">
        <v>70</v>
      </c>
    </row>
    <row r="4" spans="2:4" x14ac:dyDescent="0.2">
      <c r="B4" t="s">
        <v>15</v>
      </c>
      <c r="C4">
        <v>420</v>
      </c>
      <c r="D4" t="s">
        <v>70</v>
      </c>
    </row>
    <row r="6" spans="2:4" x14ac:dyDescent="0.2">
      <c r="B6" t="s">
        <v>12</v>
      </c>
      <c r="C6">
        <f>SUM(C2:C4)</f>
        <v>7920</v>
      </c>
      <c r="D6" t="s">
        <v>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60208-3971-42E1-858D-74A80007E1F2}">
  <dimension ref="A2:O92"/>
  <sheetViews>
    <sheetView topLeftCell="A32" workbookViewId="0">
      <selection activeCell="E5" sqref="E5"/>
    </sheetView>
  </sheetViews>
  <sheetFormatPr baseColWidth="10" defaultRowHeight="16" x14ac:dyDescent="0.2"/>
  <cols>
    <col min="1" max="1" width="29.1640625" customWidth="1"/>
    <col min="2" max="2" width="16.83203125" customWidth="1"/>
    <col min="3" max="3" width="21.33203125" customWidth="1"/>
    <col min="4" max="4" width="30.1640625" customWidth="1"/>
    <col min="5" max="5" width="16.1640625" customWidth="1"/>
    <col min="6" max="6" width="15.5" customWidth="1"/>
    <col min="7" max="7" width="16" bestFit="1" customWidth="1"/>
    <col min="11" max="11" width="16.6640625" bestFit="1" customWidth="1"/>
    <col min="12" max="14" width="15.6640625" customWidth="1"/>
    <col min="15" max="15" width="16.6640625" bestFit="1" customWidth="1"/>
  </cols>
  <sheetData>
    <row r="2" spans="1:9" x14ac:dyDescent="0.2">
      <c r="E2" t="s">
        <v>72</v>
      </c>
      <c r="F2" t="s">
        <v>73</v>
      </c>
    </row>
    <row r="3" spans="1:9" x14ac:dyDescent="0.2">
      <c r="A3" t="s">
        <v>74</v>
      </c>
      <c r="D3" t="s">
        <v>75</v>
      </c>
      <c r="E3" s="42">
        <v>8.48E-2</v>
      </c>
      <c r="F3" s="61" t="s">
        <v>76</v>
      </c>
      <c r="G3" s="13"/>
    </row>
    <row r="4" spans="1:9" x14ac:dyDescent="0.2">
      <c r="A4" t="s">
        <v>77</v>
      </c>
      <c r="D4" t="s">
        <v>78</v>
      </c>
      <c r="E4" s="42">
        <v>0.1898</v>
      </c>
      <c r="F4" s="43"/>
      <c r="G4" s="43"/>
      <c r="H4" s="43"/>
      <c r="I4" s="43"/>
    </row>
    <row r="5" spans="1:9" x14ac:dyDescent="0.2">
      <c r="A5" t="s">
        <v>79</v>
      </c>
      <c r="D5" t="s">
        <v>80</v>
      </c>
      <c r="E5" s="42">
        <v>4.7500000000000001E-2</v>
      </c>
      <c r="F5" s="43"/>
      <c r="G5" s="43"/>
      <c r="H5" s="43"/>
      <c r="I5" s="43"/>
    </row>
    <row r="6" spans="1:9" x14ac:dyDescent="0.2">
      <c r="A6" t="s">
        <v>81</v>
      </c>
      <c r="D6" t="s">
        <v>82</v>
      </c>
      <c r="E6" s="42">
        <v>4.9799999999999997E-2</v>
      </c>
      <c r="F6" s="43"/>
      <c r="G6" s="43"/>
      <c r="H6" s="43"/>
      <c r="I6" s="43"/>
    </row>
    <row r="7" spans="1:9" x14ac:dyDescent="0.2">
      <c r="A7" t="s">
        <v>83</v>
      </c>
      <c r="D7" t="s">
        <v>84</v>
      </c>
      <c r="E7" s="42">
        <v>0.1993</v>
      </c>
      <c r="F7" s="43"/>
      <c r="G7" s="43"/>
      <c r="H7" s="43"/>
      <c r="I7" s="43"/>
    </row>
    <row r="8" spans="1:9" x14ac:dyDescent="0.2">
      <c r="A8" t="s">
        <v>85</v>
      </c>
      <c r="D8" t="s">
        <v>86</v>
      </c>
      <c r="E8" s="42">
        <v>0.2147</v>
      </c>
      <c r="F8" s="43"/>
      <c r="G8" s="43"/>
      <c r="H8" s="43"/>
      <c r="I8" s="43"/>
    </row>
    <row r="9" spans="1:9" x14ac:dyDescent="0.2">
      <c r="A9" t="s">
        <v>87</v>
      </c>
    </row>
    <row r="10" spans="1:9" x14ac:dyDescent="0.2">
      <c r="A10" t="s">
        <v>88</v>
      </c>
    </row>
    <row r="12" spans="1:9" x14ac:dyDescent="0.2">
      <c r="A12" t="s">
        <v>89</v>
      </c>
      <c r="E12" t="s">
        <v>72</v>
      </c>
      <c r="F12" t="s">
        <v>73</v>
      </c>
    </row>
    <row r="13" spans="1:9" x14ac:dyDescent="0.2">
      <c r="A13" t="s">
        <v>77</v>
      </c>
      <c r="D13" t="s">
        <v>197</v>
      </c>
      <c r="E13" s="59">
        <v>0.10516</v>
      </c>
      <c r="F13" t="s">
        <v>228</v>
      </c>
    </row>
    <row r="14" spans="1:9" x14ac:dyDescent="0.2">
      <c r="A14" t="s">
        <v>90</v>
      </c>
      <c r="D14" t="s">
        <v>198</v>
      </c>
      <c r="E14" s="60">
        <f>+E13+10.5%</f>
        <v>0.21016000000000001</v>
      </c>
    </row>
    <row r="15" spans="1:9" x14ac:dyDescent="0.2">
      <c r="A15" t="s">
        <v>91</v>
      </c>
      <c r="D15" t="s">
        <v>82</v>
      </c>
      <c r="E15" s="60">
        <f>+E14/4</f>
        <v>5.2540000000000003E-2</v>
      </c>
    </row>
    <row r="16" spans="1:9" x14ac:dyDescent="0.2">
      <c r="A16" t="s">
        <v>92</v>
      </c>
      <c r="D16" t="s">
        <v>84</v>
      </c>
      <c r="E16" s="60">
        <f>+E13+10.5%</f>
        <v>0.21016000000000001</v>
      </c>
    </row>
    <row r="17" spans="1:5" x14ac:dyDescent="0.2">
      <c r="A17" t="s">
        <v>93</v>
      </c>
      <c r="D17" t="s">
        <v>86</v>
      </c>
      <c r="E17" s="13">
        <f>(1+E15)^4-1</f>
        <v>0.22731046620129192</v>
      </c>
    </row>
    <row r="19" spans="1:5" x14ac:dyDescent="0.2">
      <c r="A19" t="s">
        <v>94</v>
      </c>
    </row>
    <row r="20" spans="1:5" x14ac:dyDescent="0.2">
      <c r="A20" t="s">
        <v>77</v>
      </c>
    </row>
    <row r="21" spans="1:5" x14ac:dyDescent="0.2">
      <c r="A21" t="s">
        <v>95</v>
      </c>
    </row>
    <row r="22" spans="1:5" x14ac:dyDescent="0.2">
      <c r="A22" t="s">
        <v>96</v>
      </c>
    </row>
    <row r="23" spans="1:5" x14ac:dyDescent="0.2">
      <c r="A23" t="s">
        <v>97</v>
      </c>
    </row>
    <row r="24" spans="1:5" x14ac:dyDescent="0.2">
      <c r="A24" t="s">
        <v>98</v>
      </c>
    </row>
    <row r="26" spans="1:5" ht="17" thickBot="1" x14ac:dyDescent="0.25">
      <c r="A26" s="140" t="s">
        <v>164</v>
      </c>
      <c r="B26" s="140"/>
    </row>
    <row r="27" spans="1:5" x14ac:dyDescent="0.2">
      <c r="A27" s="44" t="s">
        <v>165</v>
      </c>
      <c r="B27" s="45" t="s">
        <v>148</v>
      </c>
    </row>
    <row r="28" spans="1:5" x14ac:dyDescent="0.2">
      <c r="A28" s="46" t="s">
        <v>166</v>
      </c>
      <c r="B28" s="47">
        <f>+Datos!C10+Datos!C15</f>
        <v>21920</v>
      </c>
    </row>
    <row r="29" spans="1:5" x14ac:dyDescent="0.2">
      <c r="A29" s="46" t="s">
        <v>167</v>
      </c>
      <c r="B29" s="48">
        <v>0.1</v>
      </c>
    </row>
    <row r="30" spans="1:5" ht="17" thickBot="1" x14ac:dyDescent="0.25">
      <c r="A30" s="49" t="s">
        <v>168</v>
      </c>
      <c r="B30" s="50">
        <f>+B28*B29</f>
        <v>2192</v>
      </c>
    </row>
    <row r="31" spans="1:5" ht="17" thickBot="1" x14ac:dyDescent="0.25"/>
    <row r="32" spans="1:5" ht="17" thickBot="1" x14ac:dyDescent="0.25">
      <c r="A32" s="51" t="s">
        <v>165</v>
      </c>
      <c r="B32" s="52" t="s">
        <v>169</v>
      </c>
      <c r="C32" s="52" t="s">
        <v>170</v>
      </c>
      <c r="D32" s="53" t="s">
        <v>171</v>
      </c>
    </row>
    <row r="33" spans="1:15" x14ac:dyDescent="0.2">
      <c r="A33" s="46" t="s">
        <v>172</v>
      </c>
      <c r="B33">
        <v>10</v>
      </c>
      <c r="C33">
        <v>10</v>
      </c>
      <c r="D33" s="54">
        <v>10</v>
      </c>
    </row>
    <row r="34" spans="1:15" x14ac:dyDescent="0.2">
      <c r="A34" s="46" t="s">
        <v>173</v>
      </c>
      <c r="B34" t="s">
        <v>201</v>
      </c>
      <c r="C34" t="s">
        <v>202</v>
      </c>
      <c r="D34" s="54" t="s">
        <v>203</v>
      </c>
    </row>
    <row r="35" spans="1:15" x14ac:dyDescent="0.2">
      <c r="A35" s="46" t="s">
        <v>174</v>
      </c>
      <c r="B35" s="42">
        <f>+E8</f>
        <v>0.2147</v>
      </c>
      <c r="C35" s="42">
        <f>+E17</f>
        <v>0.22731046620129192</v>
      </c>
      <c r="D35" s="54" t="s">
        <v>200</v>
      </c>
    </row>
    <row r="36" spans="1:15" x14ac:dyDescent="0.2">
      <c r="A36" s="46" t="s">
        <v>175</v>
      </c>
      <c r="B36" t="s">
        <v>176</v>
      </c>
      <c r="C36" t="s">
        <v>176</v>
      </c>
      <c r="D36" s="54" t="s">
        <v>177</v>
      </c>
    </row>
    <row r="37" spans="1:15" x14ac:dyDescent="0.2">
      <c r="A37" s="46" t="s">
        <v>178</v>
      </c>
      <c r="B37" t="s">
        <v>179</v>
      </c>
      <c r="C37" t="s">
        <v>180</v>
      </c>
      <c r="D37" s="54" t="s">
        <v>181</v>
      </c>
    </row>
    <row r="38" spans="1:15" x14ac:dyDescent="0.2">
      <c r="A38" s="46" t="s">
        <v>182</v>
      </c>
      <c r="B38" t="s">
        <v>83</v>
      </c>
      <c r="C38" t="s">
        <v>183</v>
      </c>
      <c r="D38" s="54" t="s">
        <v>184</v>
      </c>
    </row>
    <row r="39" spans="1:15" x14ac:dyDescent="0.2">
      <c r="A39" s="46" t="s">
        <v>185</v>
      </c>
      <c r="B39" s="37">
        <v>0.06</v>
      </c>
      <c r="C39" t="s">
        <v>186</v>
      </c>
      <c r="D39" s="48">
        <v>0.25</v>
      </c>
    </row>
    <row r="40" spans="1:15" x14ac:dyDescent="0.2">
      <c r="A40" s="46" t="s">
        <v>187</v>
      </c>
      <c r="D40" s="54"/>
    </row>
    <row r="41" spans="1:15" x14ac:dyDescent="0.2">
      <c r="A41" s="46" t="s">
        <v>188</v>
      </c>
      <c r="D41" s="54"/>
    </row>
    <row r="42" spans="1:15" ht="17" thickBot="1" x14ac:dyDescent="0.25">
      <c r="A42" s="49" t="s">
        <v>189</v>
      </c>
      <c r="B42" s="55"/>
      <c r="C42" s="55"/>
      <c r="D42" s="56"/>
    </row>
    <row r="44" spans="1:15" x14ac:dyDescent="0.2">
      <c r="A44" s="141" t="s">
        <v>199</v>
      </c>
      <c r="B44" s="141"/>
      <c r="C44" s="141"/>
      <c r="D44" s="141"/>
      <c r="E44" s="141"/>
      <c r="F44" s="141"/>
      <c r="G44" s="141"/>
      <c r="I44" s="142"/>
      <c r="J44" s="142"/>
      <c r="K44" s="142"/>
      <c r="L44" s="142"/>
      <c r="M44" s="142"/>
      <c r="N44" s="142"/>
      <c r="O44" s="142"/>
    </row>
    <row r="45" spans="1:15" x14ac:dyDescent="0.2">
      <c r="A45" t="s">
        <v>190</v>
      </c>
      <c r="B45" t="s">
        <v>191</v>
      </c>
      <c r="C45" t="s">
        <v>192</v>
      </c>
      <c r="D45" t="s">
        <v>193</v>
      </c>
      <c r="E45" t="s">
        <v>194</v>
      </c>
      <c r="F45" t="s">
        <v>195</v>
      </c>
      <c r="G45" t="s">
        <v>196</v>
      </c>
    </row>
    <row r="46" spans="1:15" x14ac:dyDescent="0.2">
      <c r="A46">
        <v>0</v>
      </c>
      <c r="B46" s="57">
        <v>46023</v>
      </c>
      <c r="C46" s="43">
        <f>+B30</f>
        <v>2192</v>
      </c>
      <c r="D46" s="43"/>
      <c r="E46" s="58">
        <f>+IF(OR(A46=8,A46=12,A46=16,A46=20,A46=24,A46=28,A46=32,A46=36),14000000,IF(A46=40,14000000,0))</f>
        <v>0</v>
      </c>
      <c r="F46" s="58">
        <f>+D46+E46</f>
        <v>0</v>
      </c>
      <c r="G46" s="43">
        <f>+C46</f>
        <v>2192</v>
      </c>
      <c r="H46" s="58"/>
      <c r="J46" s="57"/>
      <c r="K46" s="58"/>
      <c r="L46" s="58"/>
      <c r="M46" s="58"/>
      <c r="N46" s="58"/>
      <c r="O46" s="58"/>
    </row>
    <row r="47" spans="1:15" x14ac:dyDescent="0.2">
      <c r="A47">
        <v>1</v>
      </c>
      <c r="B47" s="57">
        <f t="shared" ref="B47:B86" si="0">EDATE(B46,3)</f>
        <v>46113</v>
      </c>
      <c r="C47" s="43"/>
      <c r="D47" s="43"/>
      <c r="E47" s="58"/>
      <c r="F47" s="58"/>
      <c r="G47" s="43">
        <f t="shared" ref="G47:G86" si="1">+C47-E47</f>
        <v>0</v>
      </c>
      <c r="H47" s="58"/>
      <c r="J47" s="57"/>
      <c r="K47" s="58"/>
      <c r="L47" s="58"/>
      <c r="M47" s="58"/>
      <c r="N47" s="58"/>
      <c r="O47" s="58"/>
    </row>
    <row r="48" spans="1:15" x14ac:dyDescent="0.2">
      <c r="A48">
        <v>2</v>
      </c>
      <c r="B48" s="57">
        <f t="shared" si="0"/>
        <v>46204</v>
      </c>
      <c r="C48" s="43"/>
      <c r="D48" s="43"/>
      <c r="E48" s="58"/>
      <c r="F48" s="58"/>
      <c r="G48" s="43">
        <f t="shared" si="1"/>
        <v>0</v>
      </c>
      <c r="H48" s="58"/>
      <c r="J48" s="57"/>
      <c r="K48" s="58"/>
      <c r="L48" s="58"/>
      <c r="M48" s="58"/>
      <c r="N48" s="58"/>
      <c r="O48" s="58"/>
    </row>
    <row r="49" spans="1:15" x14ac:dyDescent="0.2">
      <c r="A49">
        <v>3</v>
      </c>
      <c r="B49" s="57">
        <f t="shared" si="0"/>
        <v>46296</v>
      </c>
      <c r="C49" s="43"/>
      <c r="D49" s="43"/>
      <c r="E49" s="58"/>
      <c r="F49" s="58"/>
      <c r="G49" s="43">
        <f t="shared" si="1"/>
        <v>0</v>
      </c>
      <c r="H49" s="58"/>
      <c r="J49" s="57"/>
      <c r="K49" s="58"/>
      <c r="L49" s="58"/>
      <c r="M49" s="58"/>
      <c r="N49" s="58"/>
      <c r="O49" s="58"/>
    </row>
    <row r="50" spans="1:15" x14ac:dyDescent="0.2">
      <c r="A50">
        <v>4</v>
      </c>
      <c r="B50" s="57">
        <f t="shared" si="0"/>
        <v>46388</v>
      </c>
      <c r="C50" s="43"/>
      <c r="D50" s="43"/>
      <c r="E50" s="58"/>
      <c r="F50" s="58"/>
      <c r="G50" s="43">
        <f t="shared" si="1"/>
        <v>0</v>
      </c>
      <c r="J50" s="57"/>
      <c r="K50" s="58"/>
      <c r="L50" s="58"/>
      <c r="M50" s="58"/>
      <c r="N50" s="58"/>
      <c r="O50" s="58"/>
    </row>
    <row r="51" spans="1:15" x14ac:dyDescent="0.2">
      <c r="A51">
        <v>5</v>
      </c>
      <c r="B51" s="57">
        <f t="shared" si="0"/>
        <v>46478</v>
      </c>
      <c r="C51" s="43"/>
      <c r="D51" s="43"/>
      <c r="E51" s="58"/>
      <c r="F51" s="58"/>
      <c r="G51" s="43">
        <f t="shared" si="1"/>
        <v>0</v>
      </c>
      <c r="J51" s="57"/>
      <c r="K51" s="58"/>
      <c r="L51" s="58"/>
      <c r="M51" s="58"/>
      <c r="N51" s="58"/>
      <c r="O51" s="58"/>
    </row>
    <row r="52" spans="1:15" x14ac:dyDescent="0.2">
      <c r="A52">
        <v>6</v>
      </c>
      <c r="B52" s="57">
        <f t="shared" si="0"/>
        <v>46569</v>
      </c>
      <c r="C52" s="43"/>
      <c r="D52" s="43"/>
      <c r="E52" s="58"/>
      <c r="F52" s="58"/>
      <c r="G52" s="43">
        <f t="shared" si="1"/>
        <v>0</v>
      </c>
      <c r="J52" s="57"/>
      <c r="K52" s="58"/>
      <c r="L52" s="58"/>
      <c r="M52" s="58"/>
      <c r="N52" s="58"/>
      <c r="O52" s="58"/>
    </row>
    <row r="53" spans="1:15" x14ac:dyDescent="0.2">
      <c r="A53">
        <v>7</v>
      </c>
      <c r="B53" s="57">
        <f t="shared" si="0"/>
        <v>46661</v>
      </c>
      <c r="C53" s="43"/>
      <c r="D53" s="43"/>
      <c r="E53" s="58"/>
      <c r="F53" s="58"/>
      <c r="G53" s="43">
        <f t="shared" si="1"/>
        <v>0</v>
      </c>
      <c r="J53" s="57"/>
      <c r="K53" s="58"/>
      <c r="L53" s="58"/>
      <c r="M53" s="58"/>
      <c r="N53" s="58"/>
      <c r="O53" s="58"/>
    </row>
    <row r="54" spans="1:15" x14ac:dyDescent="0.2">
      <c r="A54">
        <v>8</v>
      </c>
      <c r="B54" s="57">
        <f t="shared" si="0"/>
        <v>46753</v>
      </c>
      <c r="C54" s="43"/>
      <c r="D54" s="43"/>
      <c r="E54" s="58"/>
      <c r="F54" s="58"/>
      <c r="G54" s="43">
        <f t="shared" si="1"/>
        <v>0</v>
      </c>
      <c r="J54" s="57"/>
      <c r="K54" s="58"/>
      <c r="L54" s="58"/>
      <c r="M54" s="58"/>
      <c r="N54" s="58"/>
      <c r="O54" s="58"/>
    </row>
    <row r="55" spans="1:15" x14ac:dyDescent="0.2">
      <c r="A55">
        <v>9</v>
      </c>
      <c r="B55" s="57">
        <f t="shared" si="0"/>
        <v>46844</v>
      </c>
      <c r="C55" s="43"/>
      <c r="D55" s="43"/>
      <c r="E55" s="58"/>
      <c r="F55" s="58"/>
      <c r="G55" s="43">
        <f t="shared" si="1"/>
        <v>0</v>
      </c>
      <c r="J55" s="57"/>
      <c r="K55" s="58"/>
      <c r="L55" s="58"/>
      <c r="M55" s="58"/>
      <c r="N55" s="58"/>
      <c r="O55" s="58"/>
    </row>
    <row r="56" spans="1:15" x14ac:dyDescent="0.2">
      <c r="A56">
        <v>10</v>
      </c>
      <c r="B56" s="57">
        <f t="shared" si="0"/>
        <v>46935</v>
      </c>
      <c r="C56" s="43"/>
      <c r="D56" s="43"/>
      <c r="E56" s="58"/>
      <c r="F56" s="58"/>
      <c r="G56" s="43">
        <f t="shared" si="1"/>
        <v>0</v>
      </c>
      <c r="J56" s="57"/>
      <c r="K56" s="58"/>
      <c r="L56" s="58"/>
      <c r="M56" s="58"/>
      <c r="N56" s="58"/>
      <c r="O56" s="58"/>
    </row>
    <row r="57" spans="1:15" x14ac:dyDescent="0.2">
      <c r="A57">
        <v>11</v>
      </c>
      <c r="B57" s="57">
        <f t="shared" si="0"/>
        <v>47027</v>
      </c>
      <c r="C57" s="43"/>
      <c r="D57" s="43"/>
      <c r="E57" s="58"/>
      <c r="F57" s="58"/>
      <c r="G57" s="43">
        <f t="shared" si="1"/>
        <v>0</v>
      </c>
      <c r="J57" s="57"/>
      <c r="K57" s="58"/>
      <c r="L57" s="58"/>
      <c r="M57" s="58"/>
      <c r="N57" s="58"/>
      <c r="O57" s="58"/>
    </row>
    <row r="58" spans="1:15" x14ac:dyDescent="0.2">
      <c r="A58">
        <v>12</v>
      </c>
      <c r="B58" s="57">
        <f t="shared" si="0"/>
        <v>47119</v>
      </c>
      <c r="C58" s="43"/>
      <c r="D58" s="43"/>
      <c r="E58" s="58"/>
      <c r="F58" s="58"/>
      <c r="G58" s="43">
        <f t="shared" si="1"/>
        <v>0</v>
      </c>
      <c r="J58" s="57"/>
      <c r="K58" s="58"/>
      <c r="L58" s="58"/>
      <c r="M58" s="58"/>
      <c r="N58" s="58"/>
      <c r="O58" s="58"/>
    </row>
    <row r="59" spans="1:15" x14ac:dyDescent="0.2">
      <c r="A59">
        <v>13</v>
      </c>
      <c r="B59" s="57">
        <f t="shared" si="0"/>
        <v>47209</v>
      </c>
      <c r="C59" s="43"/>
      <c r="D59" s="43"/>
      <c r="E59" s="58"/>
      <c r="F59" s="58"/>
      <c r="G59" s="43">
        <f t="shared" si="1"/>
        <v>0</v>
      </c>
      <c r="J59" s="57"/>
      <c r="K59" s="58"/>
      <c r="L59" s="58"/>
      <c r="M59" s="58"/>
      <c r="N59" s="58"/>
      <c r="O59" s="58"/>
    </row>
    <row r="60" spans="1:15" x14ac:dyDescent="0.2">
      <c r="A60">
        <v>14</v>
      </c>
      <c r="B60" s="57">
        <f t="shared" si="0"/>
        <v>47300</v>
      </c>
      <c r="C60" s="43"/>
      <c r="D60" s="43"/>
      <c r="E60" s="58"/>
      <c r="F60" s="58"/>
      <c r="G60" s="43">
        <f t="shared" si="1"/>
        <v>0</v>
      </c>
      <c r="J60" s="57"/>
      <c r="K60" s="58"/>
      <c r="L60" s="58"/>
      <c r="M60" s="58"/>
      <c r="N60" s="58"/>
      <c r="O60" s="58"/>
    </row>
    <row r="61" spans="1:15" x14ac:dyDescent="0.2">
      <c r="A61">
        <v>15</v>
      </c>
      <c r="B61" s="57">
        <f t="shared" si="0"/>
        <v>47392</v>
      </c>
      <c r="C61" s="43"/>
      <c r="D61" s="43"/>
      <c r="E61" s="58"/>
      <c r="F61" s="58"/>
      <c r="G61" s="43">
        <f t="shared" si="1"/>
        <v>0</v>
      </c>
      <c r="J61" s="57"/>
      <c r="K61" s="58"/>
      <c r="L61" s="58"/>
      <c r="M61" s="58"/>
      <c r="N61" s="58"/>
      <c r="O61" s="58"/>
    </row>
    <row r="62" spans="1:15" x14ac:dyDescent="0.2">
      <c r="A62">
        <v>16</v>
      </c>
      <c r="B62" s="57">
        <f t="shared" si="0"/>
        <v>47484</v>
      </c>
      <c r="C62" s="43"/>
      <c r="D62" s="43"/>
      <c r="E62" s="58"/>
      <c r="F62" s="58"/>
      <c r="G62" s="43">
        <f t="shared" si="1"/>
        <v>0</v>
      </c>
      <c r="J62" s="57"/>
      <c r="K62" s="58"/>
      <c r="L62" s="58"/>
      <c r="M62" s="58"/>
      <c r="N62" s="58"/>
      <c r="O62" s="58"/>
    </row>
    <row r="63" spans="1:15" x14ac:dyDescent="0.2">
      <c r="A63">
        <v>17</v>
      </c>
      <c r="B63" s="57">
        <f t="shared" si="0"/>
        <v>47574</v>
      </c>
      <c r="C63" s="43"/>
      <c r="D63" s="43"/>
      <c r="E63" s="58"/>
      <c r="F63" s="58"/>
      <c r="G63" s="43">
        <f t="shared" si="1"/>
        <v>0</v>
      </c>
      <c r="J63" s="57"/>
      <c r="K63" s="58"/>
      <c r="L63" s="58"/>
      <c r="M63" s="58"/>
      <c r="N63" s="58"/>
      <c r="O63" s="58"/>
    </row>
    <row r="64" spans="1:15" x14ac:dyDescent="0.2">
      <c r="A64">
        <v>18</v>
      </c>
      <c r="B64" s="57">
        <f t="shared" si="0"/>
        <v>47665</v>
      </c>
      <c r="C64" s="43"/>
      <c r="D64" s="43"/>
      <c r="E64" s="58"/>
      <c r="F64" s="58"/>
      <c r="G64" s="43">
        <f t="shared" si="1"/>
        <v>0</v>
      </c>
      <c r="J64" s="57"/>
      <c r="K64" s="58"/>
      <c r="L64" s="58"/>
      <c r="M64" s="58"/>
      <c r="N64" s="58"/>
      <c r="O64" s="58"/>
    </row>
    <row r="65" spans="1:15" x14ac:dyDescent="0.2">
      <c r="A65">
        <v>19</v>
      </c>
      <c r="B65" s="57">
        <f t="shared" si="0"/>
        <v>47757</v>
      </c>
      <c r="C65" s="43"/>
      <c r="D65" s="43"/>
      <c r="E65" s="58"/>
      <c r="F65" s="58"/>
      <c r="G65" s="43">
        <f t="shared" si="1"/>
        <v>0</v>
      </c>
      <c r="J65" s="57"/>
      <c r="K65" s="58"/>
      <c r="L65" s="58"/>
      <c r="M65" s="58"/>
      <c r="N65" s="58"/>
      <c r="O65" s="58"/>
    </row>
    <row r="66" spans="1:15" x14ac:dyDescent="0.2">
      <c r="A66">
        <v>20</v>
      </c>
      <c r="B66" s="57">
        <f t="shared" si="0"/>
        <v>47849</v>
      </c>
      <c r="C66" s="43"/>
      <c r="D66" s="43"/>
      <c r="E66" s="58"/>
      <c r="F66" s="58"/>
      <c r="G66" s="43">
        <f t="shared" si="1"/>
        <v>0</v>
      </c>
      <c r="J66" s="57"/>
      <c r="K66" s="58"/>
      <c r="L66" s="58"/>
      <c r="M66" s="58"/>
      <c r="N66" s="58"/>
      <c r="O66" s="58"/>
    </row>
    <row r="67" spans="1:15" x14ac:dyDescent="0.2">
      <c r="A67">
        <v>21</v>
      </c>
      <c r="B67" s="57">
        <f t="shared" si="0"/>
        <v>47939</v>
      </c>
      <c r="C67" s="43"/>
      <c r="D67" s="43"/>
      <c r="E67" s="58"/>
      <c r="F67" s="58"/>
      <c r="G67" s="43">
        <f t="shared" si="1"/>
        <v>0</v>
      </c>
      <c r="J67" s="57"/>
      <c r="K67" s="58"/>
      <c r="L67" s="58"/>
      <c r="M67" s="58"/>
      <c r="N67" s="58"/>
      <c r="O67" s="58"/>
    </row>
    <row r="68" spans="1:15" x14ac:dyDescent="0.2">
      <c r="A68">
        <v>22</v>
      </c>
      <c r="B68" s="57">
        <f t="shared" si="0"/>
        <v>48030</v>
      </c>
      <c r="C68" s="43"/>
      <c r="D68" s="43"/>
      <c r="E68" s="58"/>
      <c r="F68" s="58"/>
      <c r="G68" s="43">
        <f t="shared" si="1"/>
        <v>0</v>
      </c>
      <c r="J68" s="57"/>
      <c r="K68" s="58"/>
      <c r="L68" s="58"/>
      <c r="M68" s="58"/>
      <c r="N68" s="58"/>
      <c r="O68" s="58"/>
    </row>
    <row r="69" spans="1:15" x14ac:dyDescent="0.2">
      <c r="A69">
        <v>23</v>
      </c>
      <c r="B69" s="57">
        <f t="shared" si="0"/>
        <v>48122</v>
      </c>
      <c r="C69" s="43"/>
      <c r="D69" s="43"/>
      <c r="E69" s="58"/>
      <c r="F69" s="58"/>
      <c r="G69" s="43">
        <f t="shared" si="1"/>
        <v>0</v>
      </c>
      <c r="J69" s="57"/>
      <c r="K69" s="58"/>
      <c r="L69" s="58"/>
      <c r="M69" s="58"/>
      <c r="N69" s="58"/>
      <c r="O69" s="58"/>
    </row>
    <row r="70" spans="1:15" x14ac:dyDescent="0.2">
      <c r="A70">
        <v>24</v>
      </c>
      <c r="B70" s="57">
        <f t="shared" si="0"/>
        <v>48214</v>
      </c>
      <c r="C70" s="43"/>
      <c r="D70" s="43"/>
      <c r="E70" s="58"/>
      <c r="F70" s="58"/>
      <c r="G70" s="43">
        <f t="shared" si="1"/>
        <v>0</v>
      </c>
      <c r="J70" s="57"/>
      <c r="K70" s="58"/>
      <c r="L70" s="58"/>
      <c r="M70" s="58"/>
      <c r="N70" s="58"/>
      <c r="O70" s="58"/>
    </row>
    <row r="71" spans="1:15" x14ac:dyDescent="0.2">
      <c r="A71">
        <v>25</v>
      </c>
      <c r="B71" s="57">
        <f t="shared" si="0"/>
        <v>48305</v>
      </c>
      <c r="C71" s="43"/>
      <c r="D71" s="43"/>
      <c r="E71" s="58"/>
      <c r="F71" s="58"/>
      <c r="G71" s="43">
        <f t="shared" si="1"/>
        <v>0</v>
      </c>
      <c r="J71" s="57"/>
      <c r="K71" s="58"/>
      <c r="L71" s="58"/>
      <c r="M71" s="58"/>
      <c r="N71" s="58"/>
      <c r="O71" s="58"/>
    </row>
    <row r="72" spans="1:15" x14ac:dyDescent="0.2">
      <c r="A72">
        <v>26</v>
      </c>
      <c r="B72" s="57">
        <f t="shared" si="0"/>
        <v>48396</v>
      </c>
      <c r="C72" s="43"/>
      <c r="D72" s="43"/>
      <c r="E72" s="58"/>
      <c r="F72" s="58"/>
      <c r="G72" s="43">
        <f t="shared" si="1"/>
        <v>0</v>
      </c>
      <c r="J72" s="57"/>
      <c r="K72" s="58"/>
      <c r="L72" s="58"/>
      <c r="M72" s="58"/>
      <c r="N72" s="58"/>
      <c r="O72" s="58"/>
    </row>
    <row r="73" spans="1:15" x14ac:dyDescent="0.2">
      <c r="A73">
        <v>27</v>
      </c>
      <c r="B73" s="57">
        <f t="shared" si="0"/>
        <v>48488</v>
      </c>
      <c r="C73" s="43"/>
      <c r="D73" s="43"/>
      <c r="E73" s="58"/>
      <c r="F73" s="58"/>
      <c r="G73" s="43">
        <f t="shared" si="1"/>
        <v>0</v>
      </c>
      <c r="J73" s="57"/>
      <c r="K73" s="58"/>
      <c r="L73" s="58"/>
      <c r="M73" s="58"/>
      <c r="N73" s="58"/>
      <c r="O73" s="58"/>
    </row>
    <row r="74" spans="1:15" x14ac:dyDescent="0.2">
      <c r="A74">
        <v>28</v>
      </c>
      <c r="B74" s="57">
        <f t="shared" si="0"/>
        <v>48580</v>
      </c>
      <c r="C74" s="43"/>
      <c r="D74" s="43"/>
      <c r="E74" s="58"/>
      <c r="F74" s="58"/>
      <c r="G74" s="43">
        <f t="shared" si="1"/>
        <v>0</v>
      </c>
      <c r="J74" s="57"/>
      <c r="K74" s="58"/>
      <c r="L74" s="58"/>
      <c r="M74" s="58"/>
      <c r="N74" s="58"/>
      <c r="O74" s="58"/>
    </row>
    <row r="75" spans="1:15" x14ac:dyDescent="0.2">
      <c r="A75">
        <v>29</v>
      </c>
      <c r="B75" s="57">
        <f t="shared" si="0"/>
        <v>48670</v>
      </c>
      <c r="C75" s="43"/>
      <c r="D75" s="43"/>
      <c r="E75" s="58"/>
      <c r="F75" s="58"/>
      <c r="G75" s="43">
        <f t="shared" si="1"/>
        <v>0</v>
      </c>
      <c r="J75" s="57"/>
      <c r="K75" s="58"/>
      <c r="L75" s="58"/>
      <c r="M75" s="58"/>
      <c r="N75" s="58"/>
      <c r="O75" s="58"/>
    </row>
    <row r="76" spans="1:15" x14ac:dyDescent="0.2">
      <c r="A76">
        <v>30</v>
      </c>
      <c r="B76" s="57">
        <f t="shared" si="0"/>
        <v>48761</v>
      </c>
      <c r="C76" s="43"/>
      <c r="D76" s="43"/>
      <c r="E76" s="58"/>
      <c r="F76" s="58"/>
      <c r="G76" s="43">
        <f t="shared" si="1"/>
        <v>0</v>
      </c>
      <c r="J76" s="57"/>
      <c r="K76" s="58"/>
      <c r="L76" s="58"/>
      <c r="M76" s="58"/>
      <c r="N76" s="58"/>
      <c r="O76" s="58"/>
    </row>
    <row r="77" spans="1:15" x14ac:dyDescent="0.2">
      <c r="A77">
        <v>31</v>
      </c>
      <c r="B77" s="57">
        <f t="shared" si="0"/>
        <v>48853</v>
      </c>
      <c r="C77" s="43"/>
      <c r="D77" s="43"/>
      <c r="E77" s="58"/>
      <c r="F77" s="58"/>
      <c r="G77" s="43">
        <f t="shared" si="1"/>
        <v>0</v>
      </c>
      <c r="J77" s="57"/>
      <c r="K77" s="58"/>
      <c r="L77" s="58"/>
      <c r="M77" s="58"/>
      <c r="N77" s="58"/>
      <c r="O77" s="58"/>
    </row>
    <row r="78" spans="1:15" x14ac:dyDescent="0.2">
      <c r="A78">
        <v>32</v>
      </c>
      <c r="B78" s="57">
        <f t="shared" si="0"/>
        <v>48945</v>
      </c>
      <c r="C78" s="43"/>
      <c r="D78" s="43"/>
      <c r="E78" s="58"/>
      <c r="F78" s="58"/>
      <c r="G78" s="43">
        <f t="shared" si="1"/>
        <v>0</v>
      </c>
      <c r="J78" s="57"/>
      <c r="K78" s="58"/>
      <c r="L78" s="58"/>
      <c r="M78" s="58"/>
      <c r="N78" s="58"/>
      <c r="O78" s="58"/>
    </row>
    <row r="79" spans="1:15" x14ac:dyDescent="0.2">
      <c r="A79">
        <v>33</v>
      </c>
      <c r="B79" s="57">
        <f t="shared" si="0"/>
        <v>49035</v>
      </c>
      <c r="C79" s="43"/>
      <c r="D79" s="43"/>
      <c r="E79" s="58"/>
      <c r="F79" s="58"/>
      <c r="G79" s="43">
        <f t="shared" si="1"/>
        <v>0</v>
      </c>
      <c r="J79" s="57"/>
      <c r="K79" s="58"/>
      <c r="L79" s="58"/>
      <c r="M79" s="58"/>
      <c r="N79" s="58"/>
      <c r="O79" s="58"/>
    </row>
    <row r="80" spans="1:15" x14ac:dyDescent="0.2">
      <c r="A80">
        <v>34</v>
      </c>
      <c r="B80" s="57">
        <f t="shared" si="0"/>
        <v>49126</v>
      </c>
      <c r="C80" s="43"/>
      <c r="D80" s="43"/>
      <c r="E80" s="58"/>
      <c r="F80" s="58"/>
      <c r="G80" s="43">
        <f t="shared" si="1"/>
        <v>0</v>
      </c>
      <c r="J80" s="57"/>
      <c r="K80" s="58"/>
      <c r="L80" s="58"/>
      <c r="M80" s="58"/>
      <c r="N80" s="58"/>
      <c r="O80" s="58"/>
    </row>
    <row r="81" spans="1:15" x14ac:dyDescent="0.2">
      <c r="A81">
        <v>35</v>
      </c>
      <c r="B81" s="57">
        <f t="shared" si="0"/>
        <v>49218</v>
      </c>
      <c r="C81" s="43"/>
      <c r="D81" s="43"/>
      <c r="E81" s="58"/>
      <c r="F81" s="58"/>
      <c r="G81" s="43">
        <f t="shared" si="1"/>
        <v>0</v>
      </c>
      <c r="J81" s="57"/>
      <c r="K81" s="58"/>
      <c r="L81" s="58"/>
      <c r="M81" s="58"/>
      <c r="N81" s="58"/>
      <c r="O81" s="58"/>
    </row>
    <row r="82" spans="1:15" x14ac:dyDescent="0.2">
      <c r="A82">
        <v>36</v>
      </c>
      <c r="B82" s="57">
        <f t="shared" si="0"/>
        <v>49310</v>
      </c>
      <c r="C82" s="43"/>
      <c r="D82" s="43"/>
      <c r="E82" s="58"/>
      <c r="F82" s="58"/>
      <c r="G82" s="43">
        <f t="shared" si="1"/>
        <v>0</v>
      </c>
      <c r="J82" s="57"/>
      <c r="K82" s="58"/>
      <c r="L82" s="58"/>
      <c r="M82" s="58"/>
      <c r="N82" s="58"/>
      <c r="O82" s="58"/>
    </row>
    <row r="83" spans="1:15" x14ac:dyDescent="0.2">
      <c r="A83">
        <v>37</v>
      </c>
      <c r="B83" s="57">
        <f t="shared" si="0"/>
        <v>49400</v>
      </c>
      <c r="C83" s="43"/>
      <c r="D83" s="43"/>
      <c r="E83" s="58"/>
      <c r="F83" s="58"/>
      <c r="G83" s="43">
        <f t="shared" si="1"/>
        <v>0</v>
      </c>
      <c r="J83" s="57"/>
      <c r="K83" s="58"/>
      <c r="L83" s="58"/>
      <c r="M83" s="58"/>
      <c r="N83" s="58"/>
      <c r="O83" s="58"/>
    </row>
    <row r="84" spans="1:15" x14ac:dyDescent="0.2">
      <c r="A84">
        <v>38</v>
      </c>
      <c r="B84" s="57">
        <f t="shared" si="0"/>
        <v>49491</v>
      </c>
      <c r="C84" s="43"/>
      <c r="D84" s="43"/>
      <c r="E84" s="58"/>
      <c r="F84" s="58"/>
      <c r="G84" s="43">
        <f t="shared" si="1"/>
        <v>0</v>
      </c>
      <c r="J84" s="57"/>
      <c r="K84" s="58"/>
      <c r="L84" s="58"/>
      <c r="M84" s="58"/>
      <c r="N84" s="58"/>
      <c r="O84" s="58"/>
    </row>
    <row r="85" spans="1:15" x14ac:dyDescent="0.2">
      <c r="A85">
        <v>39</v>
      </c>
      <c r="B85" s="57">
        <f t="shared" si="0"/>
        <v>49583</v>
      </c>
      <c r="C85" s="43"/>
      <c r="D85" s="43"/>
      <c r="E85" s="58"/>
      <c r="F85" s="58"/>
      <c r="G85" s="43">
        <f t="shared" si="1"/>
        <v>0</v>
      </c>
      <c r="J85" s="57"/>
      <c r="K85" s="58"/>
      <c r="L85" s="58"/>
      <c r="M85" s="58"/>
      <c r="N85" s="58"/>
      <c r="O85" s="58"/>
    </row>
    <row r="86" spans="1:15" x14ac:dyDescent="0.2">
      <c r="A86">
        <v>40</v>
      </c>
      <c r="B86" s="57">
        <f t="shared" si="0"/>
        <v>49675</v>
      </c>
      <c r="C86" s="43"/>
      <c r="D86" s="43"/>
      <c r="E86" s="58"/>
      <c r="F86" s="58"/>
      <c r="G86" s="43">
        <f t="shared" si="1"/>
        <v>0</v>
      </c>
      <c r="J86" s="57"/>
      <c r="K86" s="58"/>
      <c r="L86" s="58"/>
      <c r="M86" s="58"/>
      <c r="N86" s="58"/>
      <c r="O86" s="58"/>
    </row>
    <row r="87" spans="1:15" x14ac:dyDescent="0.2">
      <c r="B87" s="57"/>
    </row>
    <row r="88" spans="1:15" x14ac:dyDescent="0.2">
      <c r="B88" s="57"/>
    </row>
    <row r="89" spans="1:15" x14ac:dyDescent="0.2">
      <c r="B89" s="57"/>
    </row>
    <row r="90" spans="1:15" x14ac:dyDescent="0.2">
      <c r="B90" s="57"/>
    </row>
    <row r="91" spans="1:15" x14ac:dyDescent="0.2">
      <c r="B91" s="57"/>
    </row>
    <row r="92" spans="1:15" x14ac:dyDescent="0.2">
      <c r="B92" s="57"/>
    </row>
  </sheetData>
  <mergeCells count="3">
    <mergeCell ref="A26:B26"/>
    <mergeCell ref="A44:G44"/>
    <mergeCell ref="I44:O44"/>
  </mergeCells>
  <hyperlinks>
    <hyperlink ref="F3" r:id="rId1" xr:uid="{0A0E8A12-CD7A-41C2-A581-D6B4C3B88045}"/>
  </hyperlinks>
  <pageMargins left="0.7" right="0.7" top="0.75" bottom="0.75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E14A2-2B49-4495-AB56-1F9BD254EFD5}">
  <dimension ref="A1:J37"/>
  <sheetViews>
    <sheetView showGridLines="0" zoomScale="115" workbookViewId="0">
      <selection activeCell="A6" sqref="A6"/>
    </sheetView>
  </sheetViews>
  <sheetFormatPr baseColWidth="10" defaultColWidth="11" defaultRowHeight="15" x14ac:dyDescent="0.2"/>
  <cols>
    <col min="1" max="1" width="22.33203125" style="88" customWidth="1"/>
    <col min="2" max="2" width="13" style="88" customWidth="1"/>
    <col min="3" max="3" width="20" style="88" customWidth="1"/>
    <col min="4" max="4" width="19.5" style="88" customWidth="1"/>
    <col min="5" max="16384" width="11" style="88"/>
  </cols>
  <sheetData>
    <row r="1" spans="1:7" s="38" customFormat="1" x14ac:dyDescent="0.2">
      <c r="A1" s="93" t="s">
        <v>147</v>
      </c>
      <c r="B1" s="87"/>
      <c r="C1" s="87"/>
      <c r="D1" s="87"/>
      <c r="E1" s="87"/>
      <c r="F1" s="87"/>
      <c r="G1" s="87"/>
    </row>
    <row r="2" spans="1:7" s="38" customFormat="1" ht="18" x14ac:dyDescent="0.2">
      <c r="A2" s="85"/>
      <c r="B2" s="85"/>
      <c r="C2" s="85"/>
      <c r="D2" s="85"/>
      <c r="E2" s="85"/>
      <c r="F2" s="85"/>
      <c r="G2" s="85"/>
    </row>
    <row r="3" spans="1:7" x14ac:dyDescent="0.2">
      <c r="A3" s="87" t="s">
        <v>302</v>
      </c>
      <c r="B3" s="87" t="s">
        <v>191</v>
      </c>
      <c r="C3" s="87" t="s">
        <v>73</v>
      </c>
    </row>
    <row r="4" spans="1:7" x14ac:dyDescent="0.2">
      <c r="A4" s="88" t="s">
        <v>320</v>
      </c>
      <c r="B4" s="89">
        <v>46188</v>
      </c>
      <c r="C4" s="88" t="s">
        <v>224</v>
      </c>
    </row>
    <row r="5" spans="1:7" ht="16.5" customHeight="1" x14ac:dyDescent="0.2">
      <c r="A5" s="88" t="s">
        <v>319</v>
      </c>
      <c r="B5" s="89">
        <v>46188</v>
      </c>
      <c r="C5" s="88" t="s">
        <v>303</v>
      </c>
    </row>
    <row r="6" spans="1:7" x14ac:dyDescent="0.2">
      <c r="C6" s="88" t="s">
        <v>304</v>
      </c>
    </row>
    <row r="7" spans="1:7" x14ac:dyDescent="0.2">
      <c r="C7" s="88" t="s">
        <v>305</v>
      </c>
    </row>
    <row r="10" spans="1:7" x14ac:dyDescent="0.2">
      <c r="A10" s="90" t="s">
        <v>103</v>
      </c>
      <c r="B10" s="90" t="s">
        <v>320</v>
      </c>
      <c r="C10" s="90" t="s">
        <v>319</v>
      </c>
      <c r="D10" s="90" t="s">
        <v>306</v>
      </c>
    </row>
    <row r="11" spans="1:7" x14ac:dyDescent="0.2">
      <c r="A11" s="90">
        <v>2026</v>
      </c>
      <c r="B11" s="91"/>
      <c r="C11" s="92"/>
      <c r="D11" s="92">
        <v>5.8400000000000001E-2</v>
      </c>
    </row>
    <row r="12" spans="1:7" x14ac:dyDescent="0.2">
      <c r="A12" s="90">
        <v>2027</v>
      </c>
      <c r="B12" s="91">
        <v>0.1303</v>
      </c>
      <c r="C12" s="92">
        <v>6.1899999999999997E-2</v>
      </c>
      <c r="D12" s="92">
        <f t="shared" ref="D12:D20" si="0">B12-C12</f>
        <v>6.8400000000000002E-2</v>
      </c>
    </row>
    <row r="13" spans="1:7" x14ac:dyDescent="0.2">
      <c r="A13" s="90">
        <v>2028</v>
      </c>
      <c r="B13" s="91">
        <v>0.12989999999999999</v>
      </c>
      <c r="C13" s="92">
        <f>AVERAGE(C12,C14)</f>
        <v>6.409999999999999E-2</v>
      </c>
      <c r="D13" s="92">
        <f t="shared" si="0"/>
        <v>6.5799999999999997E-2</v>
      </c>
    </row>
    <row r="14" spans="1:7" x14ac:dyDescent="0.2">
      <c r="A14" s="90">
        <v>2029</v>
      </c>
      <c r="B14" s="91">
        <v>0.13</v>
      </c>
      <c r="C14" s="92">
        <v>6.6299999999999998E-2</v>
      </c>
      <c r="D14" s="92">
        <f t="shared" si="0"/>
        <v>6.3700000000000007E-2</v>
      </c>
    </row>
    <row r="15" spans="1:7" x14ac:dyDescent="0.2">
      <c r="A15" s="90">
        <v>2030</v>
      </c>
      <c r="B15" s="91">
        <v>0.12989999999999999</v>
      </c>
      <c r="C15" s="92">
        <f>AVERAGE(C14,C16)</f>
        <v>6.8150000000000002E-2</v>
      </c>
      <c r="D15" s="92">
        <f t="shared" si="0"/>
        <v>6.1749999999999985E-2</v>
      </c>
    </row>
    <row r="16" spans="1:7" x14ac:dyDescent="0.2">
      <c r="A16" s="90">
        <v>2031</v>
      </c>
      <c r="B16" s="91">
        <v>0.1285</v>
      </c>
      <c r="C16" s="92">
        <v>7.0000000000000007E-2</v>
      </c>
      <c r="D16" s="92">
        <f t="shared" si="0"/>
        <v>5.8499999999999996E-2</v>
      </c>
    </row>
    <row r="17" spans="1:4" x14ac:dyDescent="0.2">
      <c r="A17" s="90">
        <v>2032</v>
      </c>
      <c r="B17" s="91">
        <v>0.1265</v>
      </c>
      <c r="C17" s="92">
        <f>AVERAGE(C16,C18)</f>
        <v>6.8349999999999994E-2</v>
      </c>
      <c r="D17" s="92">
        <f t="shared" si="0"/>
        <v>5.8150000000000007E-2</v>
      </c>
    </row>
    <row r="18" spans="1:4" x14ac:dyDescent="0.2">
      <c r="A18" s="90">
        <v>2033</v>
      </c>
      <c r="B18" s="91">
        <v>0.1255</v>
      </c>
      <c r="C18" s="92">
        <v>6.6699999999999995E-2</v>
      </c>
      <c r="D18" s="92">
        <f t="shared" si="0"/>
        <v>5.8800000000000005E-2</v>
      </c>
    </row>
    <row r="19" spans="1:4" x14ac:dyDescent="0.2">
      <c r="A19" s="90">
        <v>2034</v>
      </c>
      <c r="B19" s="91">
        <v>0.12470000000000001</v>
      </c>
      <c r="C19" s="92">
        <f>AVERAGE(C18,C20)</f>
        <v>6.6099999999999992E-2</v>
      </c>
      <c r="D19" s="92">
        <f t="shared" si="0"/>
        <v>5.8600000000000013E-2</v>
      </c>
    </row>
    <row r="20" spans="1:4" x14ac:dyDescent="0.2">
      <c r="A20" s="90">
        <v>2035</v>
      </c>
      <c r="B20" s="91">
        <v>0.124</v>
      </c>
      <c r="C20" s="92">
        <v>6.5500000000000003E-2</v>
      </c>
      <c r="D20" s="92">
        <f t="shared" si="0"/>
        <v>5.8499999999999996E-2</v>
      </c>
    </row>
    <row r="22" spans="1:4" x14ac:dyDescent="0.2">
      <c r="A22" s="88" t="s">
        <v>307</v>
      </c>
    </row>
    <row r="23" spans="1:4" x14ac:dyDescent="0.2">
      <c r="A23" s="88" t="s">
        <v>308</v>
      </c>
    </row>
    <row r="34" spans="1:10" x14ac:dyDescent="0.2">
      <c r="A34" s="88" t="s">
        <v>309</v>
      </c>
    </row>
    <row r="37" spans="1:10" x14ac:dyDescent="0.2">
      <c r="A37" s="94"/>
      <c r="B37" s="94"/>
      <c r="C37" s="94"/>
      <c r="D37" s="94"/>
      <c r="E37" s="94"/>
      <c r="F37" s="94"/>
      <c r="G37" s="94"/>
      <c r="H37" s="94"/>
      <c r="I37" s="94"/>
      <c r="J37" s="94"/>
    </row>
  </sheetData>
  <hyperlinks>
    <hyperlink ref="C5" r:id="rId1" display="https://www.grupoaval.com/wps/portal/grupo-aval/aval/portal-financiero/renta-fija/tes/datos-historicos" xr:uid="{1605EA08-2849-406F-93B3-4A73CC409EBE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E9CB-50B8-4732-B1D8-3AC938CDB0EE}">
  <dimension ref="A1:N67"/>
  <sheetViews>
    <sheetView showGridLines="0" topLeftCell="B1" zoomScale="90" zoomScaleNormal="90" workbookViewId="0">
      <selection activeCell="N1" sqref="N1"/>
    </sheetView>
  </sheetViews>
  <sheetFormatPr baseColWidth="10" defaultRowHeight="16" x14ac:dyDescent="0.2"/>
  <cols>
    <col min="1" max="1" width="36.5" bestFit="1" customWidth="1"/>
    <col min="2" max="2" width="13.6640625" customWidth="1"/>
    <col min="3" max="3" width="13.1640625" customWidth="1"/>
    <col min="4" max="4" width="11.33203125" customWidth="1"/>
    <col min="5" max="6" width="12.6640625" bestFit="1" customWidth="1"/>
    <col min="7" max="7" width="16" customWidth="1"/>
    <col min="9" max="9" width="7.83203125" customWidth="1"/>
    <col min="10" max="11" width="12.6640625" bestFit="1" customWidth="1"/>
    <col min="12" max="12" width="17.83203125" bestFit="1" customWidth="1"/>
    <col min="13" max="13" width="14" customWidth="1"/>
    <col min="14" max="14" width="2.33203125" style="76" customWidth="1"/>
  </cols>
  <sheetData>
    <row r="1" spans="1:7" ht="19" x14ac:dyDescent="0.25">
      <c r="A1" s="143" t="s">
        <v>232</v>
      </c>
      <c r="B1" s="143"/>
      <c r="C1" s="143"/>
      <c r="D1" s="143"/>
      <c r="E1" s="143"/>
      <c r="F1" s="143"/>
      <c r="G1" s="143"/>
    </row>
    <row r="3" spans="1:7" x14ac:dyDescent="0.2">
      <c r="A3" s="144" t="s">
        <v>233</v>
      </c>
      <c r="B3" s="144"/>
      <c r="D3" s="64" t="s">
        <v>234</v>
      </c>
    </row>
    <row r="4" spans="1:7" x14ac:dyDescent="0.2">
      <c r="A4" t="s">
        <v>235</v>
      </c>
      <c r="B4" s="42">
        <v>9.3600000000000003E-2</v>
      </c>
      <c r="D4" s="65" t="s">
        <v>236</v>
      </c>
    </row>
    <row r="5" spans="1:7" x14ac:dyDescent="0.2">
      <c r="A5" t="s">
        <v>237</v>
      </c>
      <c r="B5" s="42">
        <v>0.105</v>
      </c>
      <c r="D5" s="65" t="s">
        <v>238</v>
      </c>
    </row>
    <row r="6" spans="1:7" x14ac:dyDescent="0.2">
      <c r="A6" t="s">
        <v>239</v>
      </c>
      <c r="B6" s="42">
        <f>B4+B5</f>
        <v>0.1986</v>
      </c>
      <c r="D6" s="65" t="s">
        <v>240</v>
      </c>
    </row>
    <row r="7" spans="1:7" x14ac:dyDescent="0.2">
      <c r="A7" t="s">
        <v>269</v>
      </c>
      <c r="B7" s="42">
        <f>(B6/4)</f>
        <v>4.965E-2</v>
      </c>
      <c r="D7" s="65" t="s">
        <v>241</v>
      </c>
    </row>
    <row r="8" spans="1:7" x14ac:dyDescent="0.2">
      <c r="A8" t="s">
        <v>270</v>
      </c>
      <c r="B8" s="42">
        <f>B7/(1-B7)</f>
        <v>5.224391013837007E-2</v>
      </c>
      <c r="D8" s="65" t="s">
        <v>242</v>
      </c>
    </row>
    <row r="9" spans="1:7" x14ac:dyDescent="0.2">
      <c r="A9" t="s">
        <v>271</v>
      </c>
      <c r="B9" s="42">
        <f>B8*4</f>
        <v>0.20897564055348028</v>
      </c>
      <c r="D9" s="65"/>
    </row>
    <row r="10" spans="1:7" x14ac:dyDescent="0.2">
      <c r="A10" t="s">
        <v>272</v>
      </c>
      <c r="B10" s="42">
        <f>(1+B9/4)^4-1</f>
        <v>0.22593003077716389</v>
      </c>
      <c r="D10" s="65"/>
    </row>
    <row r="11" spans="1:7" x14ac:dyDescent="0.2">
      <c r="A11" t="s">
        <v>172</v>
      </c>
      <c r="B11">
        <v>10</v>
      </c>
      <c r="D11" s="65"/>
    </row>
    <row r="12" spans="1:7" x14ac:dyDescent="0.2">
      <c r="A12" t="s">
        <v>243</v>
      </c>
      <c r="B12" s="66">
        <f>Datos!C10*Datos!C35</f>
        <v>1400</v>
      </c>
      <c r="D12" s="65"/>
    </row>
    <row r="13" spans="1:7" x14ac:dyDescent="0.2">
      <c r="A13" t="s">
        <v>244</v>
      </c>
      <c r="B13" s="42">
        <v>0.06</v>
      </c>
    </row>
    <row r="14" spans="1:7" x14ac:dyDescent="0.2">
      <c r="A14" t="s">
        <v>245</v>
      </c>
      <c r="B14" s="66">
        <f>B12*B13</f>
        <v>84</v>
      </c>
    </row>
    <row r="15" spans="1:7" x14ac:dyDescent="0.2">
      <c r="A15" t="s">
        <v>246</v>
      </c>
      <c r="B15" s="66">
        <f>B12-B14</f>
        <v>1316</v>
      </c>
    </row>
    <row r="16" spans="1:7" x14ac:dyDescent="0.2">
      <c r="A16" t="s">
        <v>296</v>
      </c>
      <c r="B16" s="13">
        <f>B10*(1-0.35)</f>
        <v>0.14685452000515653</v>
      </c>
    </row>
    <row r="17" spans="1:13" x14ac:dyDescent="0.2">
      <c r="A17" s="144" t="s">
        <v>247</v>
      </c>
      <c r="B17" s="144"/>
      <c r="C17" s="144"/>
      <c r="D17" s="144"/>
      <c r="E17" s="144"/>
      <c r="F17" s="144"/>
      <c r="G17" s="144"/>
      <c r="I17" s="144" t="s">
        <v>248</v>
      </c>
      <c r="J17" s="144"/>
      <c r="K17" s="144"/>
      <c r="L17" s="144"/>
      <c r="M17" s="144"/>
    </row>
    <row r="19" spans="1:13" x14ac:dyDescent="0.2">
      <c r="A19" s="67" t="s">
        <v>249</v>
      </c>
      <c r="B19" s="67" t="s">
        <v>103</v>
      </c>
      <c r="C19" s="67" t="s">
        <v>192</v>
      </c>
      <c r="D19" s="67" t="s">
        <v>250</v>
      </c>
      <c r="E19" s="67" t="s">
        <v>251</v>
      </c>
      <c r="F19" s="67" t="s">
        <v>252</v>
      </c>
      <c r="G19" s="67" t="s">
        <v>196</v>
      </c>
      <c r="I19" s="67" t="s">
        <v>103</v>
      </c>
      <c r="J19" s="67" t="s">
        <v>253</v>
      </c>
      <c r="K19" s="67" t="s">
        <v>251</v>
      </c>
      <c r="L19" s="67" t="s">
        <v>252</v>
      </c>
      <c r="M19" s="67" t="s">
        <v>196</v>
      </c>
    </row>
    <row r="20" spans="1:13" x14ac:dyDescent="0.2">
      <c r="A20" s="68">
        <v>1</v>
      </c>
      <c r="B20" s="68">
        <v>1</v>
      </c>
      <c r="C20" s="69">
        <f>$B$12</f>
        <v>1400</v>
      </c>
      <c r="D20" s="69">
        <f>C20*$B$8</f>
        <v>73.141474193718096</v>
      </c>
      <c r="E20" s="69">
        <f t="shared" ref="E20:E59" si="0">IF(B20=1,0,IF(B20&lt;10,$B$12*0.1/4,$B$12*0.2/4))</f>
        <v>0</v>
      </c>
      <c r="F20" s="69">
        <f t="shared" ref="F20:F59" si="1">D20+E20</f>
        <v>73.141474193718096</v>
      </c>
      <c r="G20" s="69">
        <f t="shared" ref="G20:G59" si="2">C20-E20</f>
        <v>1400</v>
      </c>
      <c r="I20" s="68">
        <v>1</v>
      </c>
      <c r="J20" s="69">
        <f>SUM(D20:D23)</f>
        <v>292.56589677487239</v>
      </c>
      <c r="K20" s="69">
        <f>SUM(E20:E23)</f>
        <v>0</v>
      </c>
      <c r="L20" s="69">
        <f>SUM(F20:F23)</f>
        <v>292.56589677487239</v>
      </c>
      <c r="M20" s="69">
        <f>G23</f>
        <v>1400</v>
      </c>
    </row>
    <row r="21" spans="1:13" x14ac:dyDescent="0.2">
      <c r="A21" s="68">
        <v>2</v>
      </c>
      <c r="B21" s="68">
        <v>1</v>
      </c>
      <c r="C21" s="69">
        <f t="shared" ref="C21:C59" si="3">G20</f>
        <v>1400</v>
      </c>
      <c r="D21" s="69">
        <f t="shared" ref="D21:D59" si="4">C21*$B$8</f>
        <v>73.141474193718096</v>
      </c>
      <c r="E21" s="69">
        <f t="shared" si="0"/>
        <v>0</v>
      </c>
      <c r="F21" s="69">
        <f t="shared" si="1"/>
        <v>73.141474193718096</v>
      </c>
      <c r="G21" s="69">
        <f t="shared" si="2"/>
        <v>1400</v>
      </c>
      <c r="I21" s="68">
        <v>2</v>
      </c>
      <c r="J21" s="69">
        <f>SUM(D24:D27)</f>
        <v>281.59467564581468</v>
      </c>
      <c r="K21" s="69">
        <f>SUM(E24:E27)</f>
        <v>140</v>
      </c>
      <c r="L21" s="69">
        <f>SUM(F24:F27)</f>
        <v>421.59467564581468</v>
      </c>
      <c r="M21" s="69">
        <f>G27</f>
        <v>1260</v>
      </c>
    </row>
    <row r="22" spans="1:13" x14ac:dyDescent="0.2">
      <c r="A22" s="68">
        <v>3</v>
      </c>
      <c r="B22" s="68">
        <v>1</v>
      </c>
      <c r="C22" s="69">
        <f t="shared" si="3"/>
        <v>1400</v>
      </c>
      <c r="D22" s="69">
        <f t="shared" si="4"/>
        <v>73.141474193718096</v>
      </c>
      <c r="E22" s="69">
        <f t="shared" si="0"/>
        <v>0</v>
      </c>
      <c r="F22" s="69">
        <f t="shared" si="1"/>
        <v>73.141474193718096</v>
      </c>
      <c r="G22" s="69">
        <f t="shared" si="2"/>
        <v>1400</v>
      </c>
      <c r="I22" s="68">
        <v>3</v>
      </c>
      <c r="J22" s="69">
        <f>SUM(D28:D31)</f>
        <v>252.33808596832745</v>
      </c>
      <c r="K22" s="69">
        <f>SUM(E28:E31)</f>
        <v>140</v>
      </c>
      <c r="L22" s="69">
        <f>SUM(F28:F31)</f>
        <v>392.33808596832745</v>
      </c>
      <c r="M22" s="69">
        <f>G31</f>
        <v>1120</v>
      </c>
    </row>
    <row r="23" spans="1:13" x14ac:dyDescent="0.2">
      <c r="A23" s="68">
        <v>4</v>
      </c>
      <c r="B23" s="68">
        <v>1</v>
      </c>
      <c r="C23" s="69">
        <f t="shared" si="3"/>
        <v>1400</v>
      </c>
      <c r="D23" s="69">
        <f t="shared" si="4"/>
        <v>73.141474193718096</v>
      </c>
      <c r="E23" s="69">
        <f t="shared" si="0"/>
        <v>0</v>
      </c>
      <c r="F23" s="69">
        <f t="shared" si="1"/>
        <v>73.141474193718096</v>
      </c>
      <c r="G23" s="69">
        <f t="shared" si="2"/>
        <v>1400</v>
      </c>
      <c r="I23" s="68">
        <v>4</v>
      </c>
      <c r="J23" s="69">
        <f>SUM(D32:D35)</f>
        <v>223.08149629084019</v>
      </c>
      <c r="K23" s="69">
        <f>SUM(E32:E35)</f>
        <v>140</v>
      </c>
      <c r="L23" s="69">
        <f>SUM(F32:F35)</f>
        <v>363.08149629084022</v>
      </c>
      <c r="M23" s="69">
        <f>G35</f>
        <v>980</v>
      </c>
    </row>
    <row r="24" spans="1:13" x14ac:dyDescent="0.2">
      <c r="A24" s="68">
        <v>5</v>
      </c>
      <c r="B24" s="68">
        <v>2</v>
      </c>
      <c r="C24" s="69">
        <f t="shared" si="3"/>
        <v>1400</v>
      </c>
      <c r="D24" s="69">
        <f t="shared" si="4"/>
        <v>73.141474193718096</v>
      </c>
      <c r="E24" s="69">
        <f t="shared" si="0"/>
        <v>35</v>
      </c>
      <c r="F24" s="69">
        <f t="shared" si="1"/>
        <v>108.1414741937181</v>
      </c>
      <c r="G24" s="69">
        <f t="shared" si="2"/>
        <v>1365</v>
      </c>
      <c r="I24" s="68">
        <v>5</v>
      </c>
      <c r="J24" s="69">
        <f>SUM(D36:D39)</f>
        <v>193.82490661335297</v>
      </c>
      <c r="K24" s="69">
        <f>SUM(E36:E39)</f>
        <v>140</v>
      </c>
      <c r="L24" s="69">
        <f>SUM(F36:F39)</f>
        <v>333.82490661335299</v>
      </c>
      <c r="M24" s="69">
        <f>G39</f>
        <v>840</v>
      </c>
    </row>
    <row r="25" spans="1:13" x14ac:dyDescent="0.2">
      <c r="A25" s="68">
        <v>6</v>
      </c>
      <c r="B25" s="68">
        <v>2</v>
      </c>
      <c r="C25" s="69">
        <f t="shared" si="3"/>
        <v>1365</v>
      </c>
      <c r="D25" s="69">
        <f t="shared" si="4"/>
        <v>71.312937338875145</v>
      </c>
      <c r="E25" s="69">
        <f t="shared" si="0"/>
        <v>35</v>
      </c>
      <c r="F25" s="69">
        <f t="shared" si="1"/>
        <v>106.31293733887514</v>
      </c>
      <c r="G25" s="69">
        <f t="shared" si="2"/>
        <v>1330</v>
      </c>
      <c r="I25" s="68">
        <v>6</v>
      </c>
      <c r="J25" s="69">
        <f>SUM(D40:D43)</f>
        <v>164.56831693586571</v>
      </c>
      <c r="K25" s="69">
        <f>SUM(E40:E43)</f>
        <v>140</v>
      </c>
      <c r="L25" s="69">
        <f>SUM(F40:F43)</f>
        <v>304.56831693586571</v>
      </c>
      <c r="M25" s="69">
        <f>G43</f>
        <v>700</v>
      </c>
    </row>
    <row r="26" spans="1:13" x14ac:dyDescent="0.2">
      <c r="A26" s="68">
        <v>7</v>
      </c>
      <c r="B26" s="68">
        <v>2</v>
      </c>
      <c r="C26" s="69">
        <f t="shared" si="3"/>
        <v>1330</v>
      </c>
      <c r="D26" s="69">
        <f t="shared" si="4"/>
        <v>69.484400484032193</v>
      </c>
      <c r="E26" s="69">
        <f t="shared" si="0"/>
        <v>35</v>
      </c>
      <c r="F26" s="69">
        <f t="shared" si="1"/>
        <v>104.48440048403219</v>
      </c>
      <c r="G26" s="69">
        <f t="shared" si="2"/>
        <v>1295</v>
      </c>
      <c r="I26" s="68">
        <v>7</v>
      </c>
      <c r="J26" s="69">
        <f>SUM(D44:D47)</f>
        <v>135.31172725837848</v>
      </c>
      <c r="K26" s="69">
        <f>SUM(E44:E47)</f>
        <v>140</v>
      </c>
      <c r="L26" s="69">
        <f>SUM(F44:F47)</f>
        <v>275.31172725837848</v>
      </c>
      <c r="M26" s="69">
        <f>G47</f>
        <v>560</v>
      </c>
    </row>
    <row r="27" spans="1:13" x14ac:dyDescent="0.2">
      <c r="A27" s="68">
        <v>8</v>
      </c>
      <c r="B27" s="68">
        <v>2</v>
      </c>
      <c r="C27" s="69">
        <f t="shared" si="3"/>
        <v>1295</v>
      </c>
      <c r="D27" s="69">
        <f t="shared" si="4"/>
        <v>67.655863629189241</v>
      </c>
      <c r="E27" s="69">
        <f t="shared" si="0"/>
        <v>35</v>
      </c>
      <c r="F27" s="69">
        <f t="shared" si="1"/>
        <v>102.65586362918924</v>
      </c>
      <c r="G27" s="69">
        <f t="shared" si="2"/>
        <v>1260</v>
      </c>
      <c r="I27" s="68">
        <v>8</v>
      </c>
      <c r="J27" s="69">
        <f>SUM(D48:D51)</f>
        <v>106.05513758089124</v>
      </c>
      <c r="K27" s="69">
        <f>SUM(E48:E51)</f>
        <v>140</v>
      </c>
      <c r="L27" s="69">
        <f>SUM(F48:F51)</f>
        <v>246.05513758089126</v>
      </c>
      <c r="M27" s="69">
        <f>G51</f>
        <v>420</v>
      </c>
    </row>
    <row r="28" spans="1:13" x14ac:dyDescent="0.2">
      <c r="A28" s="68">
        <v>9</v>
      </c>
      <c r="B28" s="68">
        <v>3</v>
      </c>
      <c r="C28" s="69">
        <f t="shared" si="3"/>
        <v>1260</v>
      </c>
      <c r="D28" s="69">
        <f t="shared" si="4"/>
        <v>65.82732677434629</v>
      </c>
      <c r="E28" s="69">
        <f t="shared" si="0"/>
        <v>35</v>
      </c>
      <c r="F28" s="69">
        <f t="shared" si="1"/>
        <v>100.82732677434629</v>
      </c>
      <c r="G28" s="69">
        <f t="shared" si="2"/>
        <v>1225</v>
      </c>
      <c r="I28" s="68">
        <v>9</v>
      </c>
      <c r="J28" s="69">
        <f>SUM(D52:D55)</f>
        <v>76.798547903404</v>
      </c>
      <c r="K28" s="69">
        <f>SUM(E52:E55)</f>
        <v>140</v>
      </c>
      <c r="L28" s="69">
        <f>SUM(F52:F55)</f>
        <v>216.798547903404</v>
      </c>
      <c r="M28" s="69">
        <f>G55</f>
        <v>280</v>
      </c>
    </row>
    <row r="29" spans="1:13" x14ac:dyDescent="0.2">
      <c r="A29" s="68">
        <v>10</v>
      </c>
      <c r="B29" s="68">
        <v>3</v>
      </c>
      <c r="C29" s="69">
        <f t="shared" si="3"/>
        <v>1225</v>
      </c>
      <c r="D29" s="69">
        <f t="shared" si="4"/>
        <v>63.998789919503338</v>
      </c>
      <c r="E29" s="69">
        <f t="shared" si="0"/>
        <v>35</v>
      </c>
      <c r="F29" s="69">
        <f t="shared" si="1"/>
        <v>98.998789919503338</v>
      </c>
      <c r="G29" s="69">
        <f t="shared" si="2"/>
        <v>1190</v>
      </c>
      <c r="I29" s="68">
        <v>10</v>
      </c>
      <c r="J29" s="69">
        <f>SUM(D56:D59)</f>
        <v>36.570737096859048</v>
      </c>
      <c r="K29" s="69">
        <f>SUM(E56:E59)</f>
        <v>280</v>
      </c>
      <c r="L29" s="69">
        <f>SUM(F56:F59)</f>
        <v>316.57073709685903</v>
      </c>
      <c r="M29" s="69">
        <f>G59</f>
        <v>0</v>
      </c>
    </row>
    <row r="30" spans="1:13" x14ac:dyDescent="0.2">
      <c r="A30" s="68">
        <v>11</v>
      </c>
      <c r="B30" s="68">
        <v>3</v>
      </c>
      <c r="C30" s="69">
        <f t="shared" si="3"/>
        <v>1190</v>
      </c>
      <c r="D30" s="69">
        <f t="shared" si="4"/>
        <v>62.170253064660386</v>
      </c>
      <c r="E30" s="69">
        <f t="shared" si="0"/>
        <v>35</v>
      </c>
      <c r="F30" s="69">
        <f t="shared" si="1"/>
        <v>97.170253064660386</v>
      </c>
      <c r="G30" s="69">
        <f t="shared" si="2"/>
        <v>1155</v>
      </c>
      <c r="I30" s="70" t="s">
        <v>254</v>
      </c>
      <c r="J30" s="71">
        <f>SUM(J20:J29)</f>
        <v>1762.7095280686065</v>
      </c>
      <c r="K30" s="71">
        <f>SUM(K20:K29)</f>
        <v>1400</v>
      </c>
      <c r="L30" s="71">
        <f>SUM(L20:L29)</f>
        <v>3162.7095280686067</v>
      </c>
      <c r="M30" s="70"/>
    </row>
    <row r="31" spans="1:13" x14ac:dyDescent="0.2">
      <c r="A31" s="68">
        <v>12</v>
      </c>
      <c r="B31" s="68">
        <v>3</v>
      </c>
      <c r="C31" s="69">
        <f t="shared" si="3"/>
        <v>1155</v>
      </c>
      <c r="D31" s="69">
        <f t="shared" si="4"/>
        <v>60.341716209817427</v>
      </c>
      <c r="E31" s="69">
        <f t="shared" si="0"/>
        <v>35</v>
      </c>
      <c r="F31" s="69">
        <f t="shared" si="1"/>
        <v>95.341716209817434</v>
      </c>
      <c r="G31" s="69">
        <f t="shared" si="2"/>
        <v>1120</v>
      </c>
    </row>
    <row r="32" spans="1:13" x14ac:dyDescent="0.2">
      <c r="A32" s="68">
        <v>13</v>
      </c>
      <c r="B32" s="68">
        <v>4</v>
      </c>
      <c r="C32" s="69">
        <f t="shared" si="3"/>
        <v>1120</v>
      </c>
      <c r="D32" s="69">
        <f t="shared" si="4"/>
        <v>58.513179354974476</v>
      </c>
      <c r="E32" s="69">
        <f t="shared" si="0"/>
        <v>35</v>
      </c>
      <c r="F32" s="69">
        <f t="shared" si="1"/>
        <v>93.513179354974483</v>
      </c>
      <c r="G32" s="69">
        <f t="shared" si="2"/>
        <v>1085</v>
      </c>
      <c r="I32" s="144" t="s">
        <v>255</v>
      </c>
      <c r="J32" s="144"/>
      <c r="K32" s="144"/>
      <c r="L32" s="144"/>
      <c r="M32" s="144"/>
    </row>
    <row r="33" spans="1:13" x14ac:dyDescent="0.2">
      <c r="A33" s="68">
        <v>14</v>
      </c>
      <c r="B33" s="68">
        <v>4</v>
      </c>
      <c r="C33" s="69">
        <f t="shared" si="3"/>
        <v>1085</v>
      </c>
      <c r="D33" s="69">
        <f t="shared" si="4"/>
        <v>56.684642500131524</v>
      </c>
      <c r="E33" s="69">
        <f t="shared" si="0"/>
        <v>35</v>
      </c>
      <c r="F33" s="69">
        <f t="shared" si="1"/>
        <v>91.684642500131531</v>
      </c>
      <c r="G33" s="69">
        <f t="shared" si="2"/>
        <v>1050</v>
      </c>
      <c r="I33" s="72" t="s">
        <v>103</v>
      </c>
      <c r="J33" s="72" t="s">
        <v>256</v>
      </c>
      <c r="K33" s="72" t="s">
        <v>257</v>
      </c>
      <c r="L33" s="72" t="s">
        <v>258</v>
      </c>
      <c r="M33" s="72"/>
    </row>
    <row r="34" spans="1:13" x14ac:dyDescent="0.2">
      <c r="A34" s="68">
        <v>15</v>
      </c>
      <c r="B34" s="68">
        <v>4</v>
      </c>
      <c r="C34" s="69">
        <f t="shared" si="3"/>
        <v>1050</v>
      </c>
      <c r="D34" s="69">
        <f t="shared" si="4"/>
        <v>54.856105645288572</v>
      </c>
      <c r="E34" s="69">
        <f t="shared" si="0"/>
        <v>35</v>
      </c>
      <c r="F34" s="69">
        <f t="shared" si="1"/>
        <v>89.856105645288579</v>
      </c>
      <c r="G34" s="69">
        <f t="shared" si="2"/>
        <v>1015</v>
      </c>
      <c r="I34">
        <v>1</v>
      </c>
      <c r="J34" s="37">
        <v>0</v>
      </c>
      <c r="K34" s="66">
        <f>B12*0</f>
        <v>0</v>
      </c>
      <c r="L34" t="s">
        <v>259</v>
      </c>
    </row>
    <row r="35" spans="1:13" x14ac:dyDescent="0.2">
      <c r="A35" s="68">
        <v>16</v>
      </c>
      <c r="B35" s="68">
        <v>4</v>
      </c>
      <c r="C35" s="69">
        <f t="shared" si="3"/>
        <v>1015</v>
      </c>
      <c r="D35" s="69">
        <f t="shared" si="4"/>
        <v>53.027568790445621</v>
      </c>
      <c r="E35" s="69">
        <f t="shared" si="0"/>
        <v>35</v>
      </c>
      <c r="F35" s="69">
        <f t="shared" si="1"/>
        <v>88.027568790445628</v>
      </c>
      <c r="G35" s="69">
        <f t="shared" si="2"/>
        <v>980</v>
      </c>
      <c r="I35">
        <v>2</v>
      </c>
      <c r="J35" s="37">
        <v>0.1</v>
      </c>
      <c r="K35" s="66">
        <f>B12*0.1</f>
        <v>140</v>
      </c>
      <c r="L35" t="s">
        <v>260</v>
      </c>
    </row>
    <row r="36" spans="1:13" x14ac:dyDescent="0.2">
      <c r="A36" s="68">
        <v>17</v>
      </c>
      <c r="B36" s="68">
        <v>5</v>
      </c>
      <c r="C36" s="69">
        <f t="shared" si="3"/>
        <v>980</v>
      </c>
      <c r="D36" s="69">
        <f t="shared" si="4"/>
        <v>51.199031935602669</v>
      </c>
      <c r="E36" s="69">
        <f t="shared" si="0"/>
        <v>35</v>
      </c>
      <c r="F36" s="69">
        <f t="shared" si="1"/>
        <v>86.199031935602676</v>
      </c>
      <c r="G36" s="69">
        <f t="shared" si="2"/>
        <v>945</v>
      </c>
      <c r="I36">
        <v>3</v>
      </c>
      <c r="J36" s="37">
        <v>0.1</v>
      </c>
      <c r="K36" s="66">
        <f>B12*0.1</f>
        <v>140</v>
      </c>
      <c r="L36" t="s">
        <v>260</v>
      </c>
    </row>
    <row r="37" spans="1:13" x14ac:dyDescent="0.2">
      <c r="A37" s="68">
        <v>18</v>
      </c>
      <c r="B37" s="68">
        <v>5</v>
      </c>
      <c r="C37" s="69">
        <f t="shared" si="3"/>
        <v>945</v>
      </c>
      <c r="D37" s="69">
        <f t="shared" si="4"/>
        <v>49.370495080759717</v>
      </c>
      <c r="E37" s="69">
        <f t="shared" si="0"/>
        <v>35</v>
      </c>
      <c r="F37" s="69">
        <f t="shared" si="1"/>
        <v>84.370495080759724</v>
      </c>
      <c r="G37" s="69">
        <f t="shared" si="2"/>
        <v>910</v>
      </c>
      <c r="I37">
        <v>4</v>
      </c>
      <c r="J37" s="37">
        <v>0.1</v>
      </c>
      <c r="K37" s="66">
        <f>B12*0.1</f>
        <v>140</v>
      </c>
      <c r="L37" t="s">
        <v>260</v>
      </c>
    </row>
    <row r="38" spans="1:13" x14ac:dyDescent="0.2">
      <c r="A38" s="68">
        <v>19</v>
      </c>
      <c r="B38" s="68">
        <v>5</v>
      </c>
      <c r="C38" s="69">
        <f t="shared" si="3"/>
        <v>910</v>
      </c>
      <c r="D38" s="69">
        <f t="shared" si="4"/>
        <v>47.541958225916765</v>
      </c>
      <c r="E38" s="69">
        <f t="shared" si="0"/>
        <v>35</v>
      </c>
      <c r="F38" s="69">
        <f t="shared" si="1"/>
        <v>82.541958225916773</v>
      </c>
      <c r="G38" s="69">
        <f t="shared" si="2"/>
        <v>875</v>
      </c>
      <c r="I38">
        <v>5</v>
      </c>
      <c r="J38" s="37">
        <v>0.1</v>
      </c>
      <c r="K38" s="66">
        <f>B12*0.1</f>
        <v>140</v>
      </c>
      <c r="L38" t="s">
        <v>260</v>
      </c>
    </row>
    <row r="39" spans="1:13" x14ac:dyDescent="0.2">
      <c r="A39" s="68">
        <v>20</v>
      </c>
      <c r="B39" s="68">
        <v>5</v>
      </c>
      <c r="C39" s="69">
        <f t="shared" si="3"/>
        <v>875</v>
      </c>
      <c r="D39" s="69">
        <f t="shared" si="4"/>
        <v>45.713421371073814</v>
      </c>
      <c r="E39" s="69">
        <f t="shared" si="0"/>
        <v>35</v>
      </c>
      <c r="F39" s="69">
        <f t="shared" si="1"/>
        <v>80.713421371073821</v>
      </c>
      <c r="G39" s="69">
        <f t="shared" si="2"/>
        <v>840</v>
      </c>
      <c r="I39">
        <v>6</v>
      </c>
      <c r="J39" s="37">
        <v>0.1</v>
      </c>
      <c r="K39" s="66">
        <f>B12*0.1</f>
        <v>140</v>
      </c>
      <c r="L39" t="s">
        <v>260</v>
      </c>
    </row>
    <row r="40" spans="1:13" x14ac:dyDescent="0.2">
      <c r="A40" s="68">
        <v>21</v>
      </c>
      <c r="B40" s="68">
        <v>6</v>
      </c>
      <c r="C40" s="69">
        <f t="shared" si="3"/>
        <v>840</v>
      </c>
      <c r="D40" s="69">
        <f t="shared" si="4"/>
        <v>43.884884516230862</v>
      </c>
      <c r="E40" s="69">
        <f t="shared" si="0"/>
        <v>35</v>
      </c>
      <c r="F40" s="69">
        <f t="shared" si="1"/>
        <v>78.884884516230869</v>
      </c>
      <c r="G40" s="69">
        <f t="shared" si="2"/>
        <v>805</v>
      </c>
      <c r="I40">
        <v>7</v>
      </c>
      <c r="J40" s="37">
        <v>0.1</v>
      </c>
      <c r="K40" s="66">
        <f>B12*0.1</f>
        <v>140</v>
      </c>
      <c r="L40" t="s">
        <v>260</v>
      </c>
    </row>
    <row r="41" spans="1:13" x14ac:dyDescent="0.2">
      <c r="A41" s="68">
        <v>22</v>
      </c>
      <c r="B41" s="68">
        <v>6</v>
      </c>
      <c r="C41" s="69">
        <f t="shared" si="3"/>
        <v>805</v>
      </c>
      <c r="D41" s="69">
        <f t="shared" si="4"/>
        <v>42.056347661387903</v>
      </c>
      <c r="E41" s="69">
        <f t="shared" si="0"/>
        <v>35</v>
      </c>
      <c r="F41" s="69">
        <f t="shared" si="1"/>
        <v>77.056347661387903</v>
      </c>
      <c r="G41" s="69">
        <f t="shared" si="2"/>
        <v>770</v>
      </c>
      <c r="I41">
        <v>8</v>
      </c>
      <c r="J41" s="37">
        <v>0.1</v>
      </c>
      <c r="K41" s="66">
        <f>B12*0.1</f>
        <v>140</v>
      </c>
      <c r="L41" t="s">
        <v>260</v>
      </c>
    </row>
    <row r="42" spans="1:13" x14ac:dyDescent="0.2">
      <c r="A42" s="68">
        <v>23</v>
      </c>
      <c r="B42" s="68">
        <v>6</v>
      </c>
      <c r="C42" s="69">
        <f t="shared" si="3"/>
        <v>770</v>
      </c>
      <c r="D42" s="69">
        <f t="shared" si="4"/>
        <v>40.227810806544952</v>
      </c>
      <c r="E42" s="69">
        <f t="shared" si="0"/>
        <v>35</v>
      </c>
      <c r="F42" s="69">
        <f t="shared" si="1"/>
        <v>75.227810806544952</v>
      </c>
      <c r="G42" s="69">
        <f t="shared" si="2"/>
        <v>735</v>
      </c>
      <c r="I42">
        <v>9</v>
      </c>
      <c r="J42" s="37">
        <v>0.1</v>
      </c>
      <c r="K42" s="66">
        <f>B12*0.1</f>
        <v>140</v>
      </c>
      <c r="L42" t="s">
        <v>260</v>
      </c>
    </row>
    <row r="43" spans="1:13" x14ac:dyDescent="0.2">
      <c r="A43" s="68">
        <v>24</v>
      </c>
      <c r="B43" s="68">
        <v>6</v>
      </c>
      <c r="C43" s="69">
        <f t="shared" si="3"/>
        <v>735</v>
      </c>
      <c r="D43" s="69">
        <f t="shared" si="4"/>
        <v>38.399273951702</v>
      </c>
      <c r="E43" s="69">
        <f t="shared" si="0"/>
        <v>35</v>
      </c>
      <c r="F43" s="69">
        <f t="shared" si="1"/>
        <v>73.399273951702</v>
      </c>
      <c r="G43" s="69">
        <f t="shared" si="2"/>
        <v>700</v>
      </c>
      <c r="I43">
        <v>10</v>
      </c>
      <c r="J43" s="37">
        <v>0.2</v>
      </c>
      <c r="K43" s="66">
        <f>B12*0.2</f>
        <v>280</v>
      </c>
      <c r="L43" t="s">
        <v>261</v>
      </c>
    </row>
    <row r="44" spans="1:13" x14ac:dyDescent="0.2">
      <c r="A44" s="68">
        <v>25</v>
      </c>
      <c r="B44" s="68">
        <v>7</v>
      </c>
      <c r="C44" s="69">
        <f t="shared" si="3"/>
        <v>700</v>
      </c>
      <c r="D44" s="69">
        <f t="shared" si="4"/>
        <v>36.570737096859048</v>
      </c>
      <c r="E44" s="69">
        <f t="shared" si="0"/>
        <v>35</v>
      </c>
      <c r="F44" s="69">
        <f t="shared" si="1"/>
        <v>71.570737096859048</v>
      </c>
      <c r="G44" s="69">
        <f t="shared" si="2"/>
        <v>665</v>
      </c>
      <c r="I44" s="73" t="s">
        <v>12</v>
      </c>
      <c r="J44" s="74">
        <v>1</v>
      </c>
      <c r="K44" s="75">
        <f>SUM(K34:K43)</f>
        <v>1400</v>
      </c>
      <c r="L44" s="73"/>
      <c r="M44" s="73"/>
    </row>
    <row r="45" spans="1:13" x14ac:dyDescent="0.2">
      <c r="A45" s="68">
        <v>26</v>
      </c>
      <c r="B45" s="68">
        <v>7</v>
      </c>
      <c r="C45" s="69">
        <f t="shared" si="3"/>
        <v>665</v>
      </c>
      <c r="D45" s="69">
        <f t="shared" si="4"/>
        <v>34.742200242016096</v>
      </c>
      <c r="E45" s="69">
        <f t="shared" si="0"/>
        <v>35</v>
      </c>
      <c r="F45" s="69">
        <f t="shared" si="1"/>
        <v>69.742200242016096</v>
      </c>
      <c r="G45" s="69">
        <f t="shared" si="2"/>
        <v>630</v>
      </c>
    </row>
    <row r="46" spans="1:13" x14ac:dyDescent="0.2">
      <c r="A46" s="68">
        <v>27</v>
      </c>
      <c r="B46" s="68">
        <v>7</v>
      </c>
      <c r="C46" s="69">
        <f t="shared" si="3"/>
        <v>630</v>
      </c>
      <c r="D46" s="69">
        <f t="shared" si="4"/>
        <v>32.913663387173145</v>
      </c>
      <c r="E46" s="69">
        <f t="shared" si="0"/>
        <v>35</v>
      </c>
      <c r="F46" s="69">
        <f t="shared" si="1"/>
        <v>67.913663387173145</v>
      </c>
      <c r="G46" s="69">
        <f t="shared" si="2"/>
        <v>595</v>
      </c>
    </row>
    <row r="47" spans="1:13" x14ac:dyDescent="0.2">
      <c r="A47" s="68">
        <v>28</v>
      </c>
      <c r="B47" s="68">
        <v>7</v>
      </c>
      <c r="C47" s="69">
        <f t="shared" si="3"/>
        <v>595</v>
      </c>
      <c r="D47" s="69">
        <f t="shared" si="4"/>
        <v>31.085126532330193</v>
      </c>
      <c r="E47" s="69">
        <f t="shared" si="0"/>
        <v>35</v>
      </c>
      <c r="F47" s="69">
        <f t="shared" si="1"/>
        <v>66.085126532330193</v>
      </c>
      <c r="G47" s="69">
        <f t="shared" si="2"/>
        <v>560</v>
      </c>
    </row>
    <row r="48" spans="1:13" x14ac:dyDescent="0.2">
      <c r="A48" s="68">
        <v>29</v>
      </c>
      <c r="B48" s="68">
        <v>8</v>
      </c>
      <c r="C48" s="69">
        <f t="shared" si="3"/>
        <v>560</v>
      </c>
      <c r="D48" s="69">
        <f t="shared" si="4"/>
        <v>29.256589677487238</v>
      </c>
      <c r="E48" s="69">
        <f t="shared" si="0"/>
        <v>35</v>
      </c>
      <c r="F48" s="69">
        <f t="shared" si="1"/>
        <v>64.256589677487241</v>
      </c>
      <c r="G48" s="69">
        <f t="shared" si="2"/>
        <v>525</v>
      </c>
    </row>
    <row r="49" spans="1:7" x14ac:dyDescent="0.2">
      <c r="A49" s="68">
        <v>30</v>
      </c>
      <c r="B49" s="68">
        <v>8</v>
      </c>
      <c r="C49" s="69">
        <f t="shared" si="3"/>
        <v>525</v>
      </c>
      <c r="D49" s="69">
        <f t="shared" si="4"/>
        <v>27.428052822644286</v>
      </c>
      <c r="E49" s="69">
        <f t="shared" si="0"/>
        <v>35</v>
      </c>
      <c r="F49" s="69">
        <f t="shared" si="1"/>
        <v>62.42805282264429</v>
      </c>
      <c r="G49" s="69">
        <f t="shared" si="2"/>
        <v>490</v>
      </c>
    </row>
    <row r="50" spans="1:7" x14ac:dyDescent="0.2">
      <c r="A50" s="68">
        <v>31</v>
      </c>
      <c r="B50" s="68">
        <v>8</v>
      </c>
      <c r="C50" s="69">
        <f t="shared" si="3"/>
        <v>490</v>
      </c>
      <c r="D50" s="69">
        <f t="shared" si="4"/>
        <v>25.599515967801334</v>
      </c>
      <c r="E50" s="69">
        <f t="shared" si="0"/>
        <v>35</v>
      </c>
      <c r="F50" s="69">
        <f t="shared" si="1"/>
        <v>60.599515967801338</v>
      </c>
      <c r="G50" s="69">
        <f t="shared" si="2"/>
        <v>455</v>
      </c>
    </row>
    <row r="51" spans="1:7" x14ac:dyDescent="0.2">
      <c r="A51" s="68">
        <v>32</v>
      </c>
      <c r="B51" s="68">
        <v>8</v>
      </c>
      <c r="C51" s="69">
        <f t="shared" si="3"/>
        <v>455</v>
      </c>
      <c r="D51" s="69">
        <f t="shared" si="4"/>
        <v>23.770979112958383</v>
      </c>
      <c r="E51" s="69">
        <f t="shared" si="0"/>
        <v>35</v>
      </c>
      <c r="F51" s="69">
        <f t="shared" si="1"/>
        <v>58.770979112958386</v>
      </c>
      <c r="G51" s="69">
        <f t="shared" si="2"/>
        <v>420</v>
      </c>
    </row>
    <row r="52" spans="1:7" x14ac:dyDescent="0.2">
      <c r="A52" s="68">
        <v>33</v>
      </c>
      <c r="B52" s="68">
        <v>9</v>
      </c>
      <c r="C52" s="69">
        <f t="shared" si="3"/>
        <v>420</v>
      </c>
      <c r="D52" s="69">
        <f t="shared" si="4"/>
        <v>21.942442258115431</v>
      </c>
      <c r="E52" s="69">
        <f t="shared" si="0"/>
        <v>35</v>
      </c>
      <c r="F52" s="69">
        <f t="shared" si="1"/>
        <v>56.942442258115435</v>
      </c>
      <c r="G52" s="69">
        <f t="shared" si="2"/>
        <v>385</v>
      </c>
    </row>
    <row r="53" spans="1:7" x14ac:dyDescent="0.2">
      <c r="A53" s="68">
        <v>34</v>
      </c>
      <c r="B53" s="68">
        <v>9</v>
      </c>
      <c r="C53" s="69">
        <f t="shared" si="3"/>
        <v>385</v>
      </c>
      <c r="D53" s="69">
        <f t="shared" si="4"/>
        <v>20.113905403272476</v>
      </c>
      <c r="E53" s="69">
        <f t="shared" si="0"/>
        <v>35</v>
      </c>
      <c r="F53" s="69">
        <f t="shared" si="1"/>
        <v>55.113905403272476</v>
      </c>
      <c r="G53" s="69">
        <f t="shared" si="2"/>
        <v>350</v>
      </c>
    </row>
    <row r="54" spans="1:7" x14ac:dyDescent="0.2">
      <c r="A54" s="68">
        <v>35</v>
      </c>
      <c r="B54" s="68">
        <v>9</v>
      </c>
      <c r="C54" s="69">
        <f t="shared" si="3"/>
        <v>350</v>
      </c>
      <c r="D54" s="69">
        <f t="shared" si="4"/>
        <v>18.285368548429524</v>
      </c>
      <c r="E54" s="69">
        <f t="shared" si="0"/>
        <v>35</v>
      </c>
      <c r="F54" s="69">
        <f t="shared" si="1"/>
        <v>53.285368548429524</v>
      </c>
      <c r="G54" s="69">
        <f t="shared" si="2"/>
        <v>315</v>
      </c>
    </row>
    <row r="55" spans="1:7" x14ac:dyDescent="0.2">
      <c r="A55" s="68">
        <v>36</v>
      </c>
      <c r="B55" s="68">
        <v>9</v>
      </c>
      <c r="C55" s="69">
        <f t="shared" si="3"/>
        <v>315</v>
      </c>
      <c r="D55" s="69">
        <f t="shared" si="4"/>
        <v>16.456831693586572</v>
      </c>
      <c r="E55" s="69">
        <f t="shared" si="0"/>
        <v>35</v>
      </c>
      <c r="F55" s="69">
        <f t="shared" si="1"/>
        <v>51.456831693586572</v>
      </c>
      <c r="G55" s="69">
        <f t="shared" si="2"/>
        <v>280</v>
      </c>
    </row>
    <row r="56" spans="1:7" x14ac:dyDescent="0.2">
      <c r="A56" s="68">
        <v>37</v>
      </c>
      <c r="B56" s="68">
        <v>10</v>
      </c>
      <c r="C56" s="69">
        <f t="shared" si="3"/>
        <v>280</v>
      </c>
      <c r="D56" s="69">
        <f t="shared" si="4"/>
        <v>14.628294838743619</v>
      </c>
      <c r="E56" s="69">
        <f t="shared" si="0"/>
        <v>70</v>
      </c>
      <c r="F56" s="69">
        <f t="shared" si="1"/>
        <v>84.628294838743614</v>
      </c>
      <c r="G56" s="69">
        <f t="shared" si="2"/>
        <v>210</v>
      </c>
    </row>
    <row r="57" spans="1:7" x14ac:dyDescent="0.2">
      <c r="A57" s="68">
        <v>38</v>
      </c>
      <c r="B57" s="68">
        <v>10</v>
      </c>
      <c r="C57" s="69">
        <f t="shared" si="3"/>
        <v>210</v>
      </c>
      <c r="D57" s="69">
        <f t="shared" si="4"/>
        <v>10.971221129057716</v>
      </c>
      <c r="E57" s="69">
        <f t="shared" si="0"/>
        <v>70</v>
      </c>
      <c r="F57" s="69">
        <f t="shared" si="1"/>
        <v>80.97122112905771</v>
      </c>
      <c r="G57" s="69">
        <f t="shared" si="2"/>
        <v>140</v>
      </c>
    </row>
    <row r="58" spans="1:7" x14ac:dyDescent="0.2">
      <c r="A58" s="68">
        <v>39</v>
      </c>
      <c r="B58" s="68">
        <v>10</v>
      </c>
      <c r="C58" s="69">
        <f t="shared" si="3"/>
        <v>140</v>
      </c>
      <c r="D58" s="69">
        <f t="shared" si="4"/>
        <v>7.3141474193718095</v>
      </c>
      <c r="E58" s="69">
        <f t="shared" si="0"/>
        <v>70</v>
      </c>
      <c r="F58" s="69">
        <f t="shared" si="1"/>
        <v>77.314147419371807</v>
      </c>
      <c r="G58" s="69">
        <f t="shared" si="2"/>
        <v>70</v>
      </c>
    </row>
    <row r="59" spans="1:7" x14ac:dyDescent="0.2">
      <c r="A59" s="68">
        <v>40</v>
      </c>
      <c r="B59" s="68">
        <v>10</v>
      </c>
      <c r="C59" s="69">
        <f t="shared" si="3"/>
        <v>70</v>
      </c>
      <c r="D59" s="69">
        <f t="shared" si="4"/>
        <v>3.6570737096859047</v>
      </c>
      <c r="E59" s="69">
        <f t="shared" si="0"/>
        <v>70</v>
      </c>
      <c r="F59" s="69">
        <f t="shared" si="1"/>
        <v>73.657073709685903</v>
      </c>
      <c r="G59" s="69">
        <f t="shared" si="2"/>
        <v>0</v>
      </c>
    </row>
    <row r="60" spans="1:7" x14ac:dyDescent="0.2">
      <c r="A60" s="70" t="s">
        <v>262</v>
      </c>
      <c r="B60" s="70"/>
      <c r="C60" s="70"/>
      <c r="D60" s="71">
        <f>SUM(D20:D59)</f>
        <v>1762.709528068606</v>
      </c>
      <c r="E60" s="71">
        <f>SUM(E20:E59)</f>
        <v>1400</v>
      </c>
      <c r="F60" s="71">
        <f>SUM(F20:F59)</f>
        <v>3162.7095280686053</v>
      </c>
      <c r="G60" s="70"/>
    </row>
    <row r="62" spans="1:7" x14ac:dyDescent="0.2">
      <c r="A62" s="64" t="s">
        <v>263</v>
      </c>
    </row>
    <row r="63" spans="1:7" x14ac:dyDescent="0.2">
      <c r="A63" t="s">
        <v>264</v>
      </c>
      <c r="B63" s="66">
        <f>D60</f>
        <v>1762.709528068606</v>
      </c>
    </row>
    <row r="64" spans="1:7" x14ac:dyDescent="0.2">
      <c r="A64" t="s">
        <v>265</v>
      </c>
      <c r="B64" s="66">
        <f>E60</f>
        <v>1400</v>
      </c>
    </row>
    <row r="65" spans="1:2" x14ac:dyDescent="0.2">
      <c r="A65" t="s">
        <v>266</v>
      </c>
      <c r="B65" s="66">
        <f>F60</f>
        <v>3162.7095280686053</v>
      </c>
    </row>
    <row r="66" spans="1:2" x14ac:dyDescent="0.2">
      <c r="A66" t="s">
        <v>267</v>
      </c>
      <c r="B66" s="77">
        <f>D60+B14</f>
        <v>1846.709528068606</v>
      </c>
    </row>
    <row r="67" spans="1:2" x14ac:dyDescent="0.2">
      <c r="B67" s="66"/>
    </row>
  </sheetData>
  <mergeCells count="5">
    <mergeCell ref="A1:G1"/>
    <mergeCell ref="A3:B3"/>
    <mergeCell ref="A17:G17"/>
    <mergeCell ref="I17:M17"/>
    <mergeCell ref="I32:M3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BD6C-4915-224B-BD54-B71D273CB923}">
  <dimension ref="A1:C23"/>
  <sheetViews>
    <sheetView workbookViewId="0">
      <selection activeCell="B18" sqref="B18"/>
    </sheetView>
  </sheetViews>
  <sheetFormatPr baseColWidth="10" defaultRowHeight="16" x14ac:dyDescent="0.2"/>
  <cols>
    <col min="1" max="1" width="50" bestFit="1" customWidth="1"/>
  </cols>
  <sheetData>
    <row r="1" spans="1:3" x14ac:dyDescent="0.2">
      <c r="A1" t="s">
        <v>204</v>
      </c>
      <c r="B1" s="13">
        <v>4.4400000000000002E-2</v>
      </c>
      <c r="C1" s="61" t="s">
        <v>205</v>
      </c>
    </row>
    <row r="2" spans="1:3" x14ac:dyDescent="0.2">
      <c r="A2" t="s">
        <v>206</v>
      </c>
      <c r="B2" s="13">
        <v>0.12591818181818185</v>
      </c>
    </row>
    <row r="3" spans="1:3" x14ac:dyDescent="0.2">
      <c r="A3" t="s">
        <v>207</v>
      </c>
      <c r="B3" s="42">
        <f>B2-B1</f>
        <v>8.1518181818181851E-2</v>
      </c>
    </row>
    <row r="4" spans="1:3" x14ac:dyDescent="0.2">
      <c r="A4" t="s">
        <v>210</v>
      </c>
      <c r="B4" s="62">
        <v>1.04</v>
      </c>
      <c r="C4" t="s">
        <v>208</v>
      </c>
    </row>
    <row r="5" spans="1:3" x14ac:dyDescent="0.2">
      <c r="A5" t="s">
        <v>209</v>
      </c>
      <c r="B5" s="42">
        <v>0.10980000000000001</v>
      </c>
    </row>
    <row r="6" spans="1:3" x14ac:dyDescent="0.2">
      <c r="A6" t="s">
        <v>212</v>
      </c>
      <c r="B6" s="42">
        <f>Datos!C17</f>
        <v>0.35</v>
      </c>
    </row>
    <row r="7" spans="1:3" x14ac:dyDescent="0.2">
      <c r="A7" t="s">
        <v>211</v>
      </c>
      <c r="B7" s="62">
        <f>((B4)/(1+(1-B6)*B5))</f>
        <v>0.97071973267871992</v>
      </c>
      <c r="C7" t="s">
        <v>213</v>
      </c>
    </row>
    <row r="8" spans="1:3" ht="17" x14ac:dyDescent="0.2">
      <c r="A8" s="27" t="s">
        <v>215</v>
      </c>
      <c r="B8" s="62">
        <v>0.96</v>
      </c>
      <c r="C8" t="s">
        <v>214</v>
      </c>
    </row>
    <row r="9" spans="1:3" ht="17" x14ac:dyDescent="0.2">
      <c r="A9" s="27" t="s">
        <v>218</v>
      </c>
      <c r="B9" s="62">
        <f>Datos!C35/Datos!C34</f>
        <v>0.11111111111111112</v>
      </c>
      <c r="C9" t="s">
        <v>217</v>
      </c>
    </row>
    <row r="10" spans="1:3" x14ac:dyDescent="0.2">
      <c r="A10" t="s">
        <v>216</v>
      </c>
      <c r="B10" s="62">
        <f>B7*(1+(1-B6)*(B9))</f>
        <v>1.0408272689277385</v>
      </c>
      <c r="C10" t="s">
        <v>213</v>
      </c>
    </row>
    <row r="11" spans="1:3" x14ac:dyDescent="0.2">
      <c r="A11" t="s">
        <v>219</v>
      </c>
      <c r="B11" s="42">
        <v>6.6430000000000003E-2</v>
      </c>
      <c r="C11" s="63" t="s">
        <v>220</v>
      </c>
    </row>
    <row r="12" spans="1:3" x14ac:dyDescent="0.2">
      <c r="A12" t="s">
        <v>223</v>
      </c>
      <c r="B12" s="42">
        <f>B11-B1</f>
        <v>2.2030000000000001E-2</v>
      </c>
      <c r="C12" t="s">
        <v>213</v>
      </c>
    </row>
    <row r="13" spans="1:3" x14ac:dyDescent="0.2">
      <c r="A13" t="s">
        <v>225</v>
      </c>
      <c r="B13" s="42">
        <v>0.121</v>
      </c>
      <c r="C13" s="61" t="s">
        <v>224</v>
      </c>
    </row>
    <row r="14" spans="1:3" x14ac:dyDescent="0.2">
      <c r="A14" t="s">
        <v>102</v>
      </c>
      <c r="B14" s="42">
        <f>B13-B11</f>
        <v>5.4569999999999994E-2</v>
      </c>
      <c r="C14" t="s">
        <v>213</v>
      </c>
    </row>
    <row r="15" spans="1:3" x14ac:dyDescent="0.2">
      <c r="A15" t="s">
        <v>227</v>
      </c>
      <c r="B15" s="42">
        <f>B1+B10*B3+B12</f>
        <v>0.15127634654977304</v>
      </c>
    </row>
    <row r="16" spans="1:3" x14ac:dyDescent="0.2">
      <c r="A16" t="s">
        <v>226</v>
      </c>
      <c r="B16" s="42">
        <f>(1+B15)*(1+B14)-1</f>
        <v>0.21410149678099422</v>
      </c>
    </row>
    <row r="17" spans="1:2" x14ac:dyDescent="0.2">
      <c r="B17" s="37"/>
    </row>
    <row r="18" spans="1:2" x14ac:dyDescent="0.2">
      <c r="A18" t="s">
        <v>163</v>
      </c>
      <c r="B18" s="42">
        <f>$B$16*Datos!$C$34+Datos!$C$35*(1-WACC!$B$6)*Bancos!$B$10</f>
        <v>0.20737679910341045</v>
      </c>
    </row>
    <row r="19" spans="1:2" x14ac:dyDescent="0.2">
      <c r="B19" s="13"/>
    </row>
    <row r="20" spans="1:2" x14ac:dyDescent="0.2">
      <c r="A20" t="s">
        <v>18</v>
      </c>
      <c r="B20" s="11">
        <v>0.9</v>
      </c>
    </row>
    <row r="21" spans="1:2" x14ac:dyDescent="0.2">
      <c r="A21" t="s">
        <v>19</v>
      </c>
      <c r="B21" s="11">
        <v>0.1</v>
      </c>
    </row>
    <row r="22" spans="1:2" x14ac:dyDescent="0.2">
      <c r="A22" t="s">
        <v>294</v>
      </c>
      <c r="B22">
        <f>B20+B21</f>
        <v>1</v>
      </c>
    </row>
    <row r="23" spans="1:2" x14ac:dyDescent="0.2">
      <c r="A23" t="s">
        <v>295</v>
      </c>
      <c r="B23" s="42">
        <f>B20*$B$16+B21*(1-$B$6)*Bancos!$B$10</f>
        <v>0.20737679910341045</v>
      </c>
    </row>
  </sheetData>
  <hyperlinks>
    <hyperlink ref="C1" r:id="rId1" xr:uid="{FD7B9E88-34E8-4D87-8C9F-36DA5A9C051B}"/>
    <hyperlink ref="C11" r:id="rId2" xr:uid="{F24AE56B-4FD0-48E1-8066-07F37B3CA27D}"/>
    <hyperlink ref="C13" r:id="rId3" xr:uid="{8E86C483-8705-46CD-A2A5-52D4FBACBED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BD1F-2BCE-1E4E-8D0F-AE09382DBF1B}">
  <dimension ref="A1:N7"/>
  <sheetViews>
    <sheetView workbookViewId="0">
      <selection activeCell="D11" sqref="D11"/>
    </sheetView>
  </sheetViews>
  <sheetFormatPr baseColWidth="10" defaultColWidth="11" defaultRowHeight="16" x14ac:dyDescent="0.2"/>
  <cols>
    <col min="1" max="1" width="19.83203125" bestFit="1" customWidth="1"/>
    <col min="2" max="11" width="19.6640625" customWidth="1"/>
    <col min="13" max="13" width="35.5" bestFit="1" customWidth="1"/>
    <col min="14" max="14" width="18.33203125" customWidth="1"/>
  </cols>
  <sheetData>
    <row r="1" spans="1:14" x14ac:dyDescent="0.2">
      <c r="A1" s="32" t="s">
        <v>56</v>
      </c>
      <c r="B1" s="23" t="s">
        <v>57</v>
      </c>
      <c r="C1" s="23" t="s">
        <v>58</v>
      </c>
      <c r="D1" s="23" t="s">
        <v>59</v>
      </c>
      <c r="E1" s="23" t="s">
        <v>60</v>
      </c>
      <c r="F1" s="23" t="s">
        <v>61</v>
      </c>
      <c r="G1" s="23" t="s">
        <v>62</v>
      </c>
      <c r="H1" s="23" t="s">
        <v>63</v>
      </c>
      <c r="I1" s="23" t="s">
        <v>64</v>
      </c>
      <c r="J1" s="23" t="s">
        <v>65</v>
      </c>
      <c r="K1" s="23" t="s">
        <v>66</v>
      </c>
      <c r="M1" t="s">
        <v>156</v>
      </c>
      <c r="N1" t="s">
        <v>274</v>
      </c>
    </row>
    <row r="2" spans="1:14" x14ac:dyDescent="0.2">
      <c r="A2" s="33" t="s">
        <v>5</v>
      </c>
      <c r="B2" s="22">
        <f>Datos!$C$5*1000000/Datos!$E$5</f>
        <v>425000000</v>
      </c>
      <c r="C2" s="22">
        <f>Datos!$C$5*1000000/Datos!$E$5</f>
        <v>425000000</v>
      </c>
      <c r="D2" s="22">
        <f>Datos!$C$5*1000000/Datos!$E$5</f>
        <v>425000000</v>
      </c>
      <c r="E2" s="22">
        <f>Datos!$C$5*1000000/Datos!$E$5</f>
        <v>425000000</v>
      </c>
      <c r="F2" s="22">
        <f>Datos!$C$5*1000000/Datos!$E$5</f>
        <v>425000000</v>
      </c>
      <c r="G2" s="22">
        <f>Datos!$C$5*1000000/Datos!$E$5</f>
        <v>425000000</v>
      </c>
      <c r="H2" s="22">
        <f>Datos!$C$5*1000000/Datos!$E$5</f>
        <v>425000000</v>
      </c>
      <c r="I2" s="22">
        <f>Datos!$C$5*1000000/Datos!$E$5</f>
        <v>425000000</v>
      </c>
      <c r="J2" s="22">
        <f>Datos!$C$5*1000000/Datos!$E$5</f>
        <v>425000000</v>
      </c>
      <c r="K2" s="22">
        <f>Datos!$C$5*1000000/Datos!$E$5</f>
        <v>425000000</v>
      </c>
      <c r="M2" t="s">
        <v>157</v>
      </c>
    </row>
    <row r="3" spans="1:14" x14ac:dyDescent="0.2">
      <c r="A3" s="34" t="s">
        <v>7</v>
      </c>
      <c r="B3" s="22">
        <f>Datos!$C$6*1000000/Datos!$E$6</f>
        <v>250000000</v>
      </c>
      <c r="C3" s="22">
        <f>Datos!$C$6*1000000/Datos!$E$6</f>
        <v>250000000</v>
      </c>
      <c r="D3" s="22">
        <f>Datos!$C$6*1000000/Datos!$E$6</f>
        <v>250000000</v>
      </c>
      <c r="E3" s="22">
        <f>Datos!$C$6*1000000/Datos!$E$6</f>
        <v>250000000</v>
      </c>
      <c r="F3" s="22">
        <f>Datos!$C$6*1000000/Datos!$E$6</f>
        <v>250000000</v>
      </c>
      <c r="G3" s="22">
        <f>Datos!$C$6*1000000/Datos!$E$6</f>
        <v>250000000</v>
      </c>
      <c r="H3" s="22">
        <f>Datos!$C$6*1000000/Datos!$E$6</f>
        <v>250000000</v>
      </c>
      <c r="I3" s="22">
        <f>Datos!$C$6*1000000/Datos!$E$6</f>
        <v>250000000</v>
      </c>
      <c r="J3" s="22">
        <f>Datos!$C$6*1000000/Datos!$E$6</f>
        <v>250000000</v>
      </c>
      <c r="K3" s="22">
        <f>Datos!$C$6*1000000/Datos!$E$6</f>
        <v>250000000</v>
      </c>
      <c r="M3" t="s">
        <v>158</v>
      </c>
    </row>
    <row r="4" spans="1:14" x14ac:dyDescent="0.2">
      <c r="A4" s="35" t="s">
        <v>8</v>
      </c>
      <c r="B4" s="22">
        <f>Datos!$C$7*1000000/Datos!$E$7</f>
        <v>19799999.999999996</v>
      </c>
      <c r="C4" s="22">
        <f>Datos!$C$7*1000000/Datos!$E$7</f>
        <v>19799999.999999996</v>
      </c>
      <c r="D4" s="22">
        <f>Datos!$C$7*1000000/Datos!$E$7</f>
        <v>19799999.999999996</v>
      </c>
      <c r="E4" s="22">
        <f>Datos!$C$7*1000000/Datos!$E$7</f>
        <v>19799999.999999996</v>
      </c>
      <c r="F4" s="22">
        <f>Datos!$C$7*1000000/Datos!$E$7</f>
        <v>19799999.999999996</v>
      </c>
      <c r="G4" s="22">
        <f>Datos!$C$7*1000000/Datos!$E$7</f>
        <v>19799999.999999996</v>
      </c>
      <c r="H4" s="22">
        <f>Datos!$C$7*1000000/Datos!$E$7</f>
        <v>19799999.999999996</v>
      </c>
      <c r="I4" s="22">
        <f>Datos!$C$7*1000000/Datos!$E$7</f>
        <v>19799999.999999996</v>
      </c>
      <c r="J4" s="22">
        <f>Datos!$C$7*1000000/Datos!$E$7</f>
        <v>19799999.999999996</v>
      </c>
      <c r="K4" s="22">
        <f>Datos!$C$7*1000000/Datos!$E$7</f>
        <v>19799999.999999996</v>
      </c>
    </row>
    <row r="5" spans="1:14" x14ac:dyDescent="0.2">
      <c r="A5" s="34" t="s">
        <v>9</v>
      </c>
      <c r="B5" s="22">
        <f>Datos!$C$8*1000000/Datos!$E$8</f>
        <v>42500000</v>
      </c>
      <c r="C5" s="22">
        <f>Datos!$C$8*1000000/Datos!$E$8</f>
        <v>42500000</v>
      </c>
      <c r="D5" s="22">
        <f>Datos!$C$8*1000000/Datos!$E$8</f>
        <v>42500000</v>
      </c>
      <c r="E5" s="22">
        <f>Datos!$C$8*1000000/Datos!$E$8</f>
        <v>42500000</v>
      </c>
      <c r="F5" s="22">
        <f>Datos!$C$8*1000000/Datos!$E$8</f>
        <v>42500000</v>
      </c>
      <c r="G5" s="22">
        <f>Datos!$C$8*1000000/Datos!$E$8</f>
        <v>42500000</v>
      </c>
      <c r="H5" s="22">
        <f>Datos!$C$8*1000000/Datos!$E$8</f>
        <v>42500000</v>
      </c>
      <c r="I5" s="22">
        <f>Datos!$C$8*1000000/Datos!$E$8</f>
        <v>42500000</v>
      </c>
      <c r="J5" s="22">
        <f>Datos!$C$8*1000000/Datos!$E$8</f>
        <v>42500000</v>
      </c>
      <c r="K5" s="22">
        <f>Datos!$C$8*1000000/Datos!$E$8</f>
        <v>42500000</v>
      </c>
    </row>
    <row r="6" spans="1:14" x14ac:dyDescent="0.2">
      <c r="A6" s="35" t="s">
        <v>11</v>
      </c>
      <c r="B6" s="22">
        <f>Datos!$C$9*1000000/Datos!$E$9</f>
        <v>62500000</v>
      </c>
      <c r="C6" s="22">
        <f>Datos!$C$9*1000000/Datos!$E$9</f>
        <v>62500000</v>
      </c>
      <c r="D6" s="22">
        <f>Datos!$C$9*1000000/Datos!$E$9</f>
        <v>62500000</v>
      </c>
      <c r="E6" s="22">
        <f>Datos!$C$9*1000000/Datos!$E$9</f>
        <v>62500000</v>
      </c>
      <c r="F6" s="22">
        <f>Datos!$C$9*1000000/Datos!$E$9</f>
        <v>62500000</v>
      </c>
      <c r="G6" s="22">
        <f>Datos!$C$9*1000000/Datos!$E$9</f>
        <v>62500000</v>
      </c>
      <c r="H6" s="22">
        <f>Datos!$C$9*1000000/Datos!$E$9</f>
        <v>62500000</v>
      </c>
      <c r="I6" s="22">
        <f>Datos!$C$9*1000000/Datos!$E$9</f>
        <v>62500000</v>
      </c>
      <c r="J6" s="22">
        <f>Datos!$C$9*1000000/Datos!$E$9</f>
        <v>62500000</v>
      </c>
      <c r="K6" s="22">
        <f>Datos!$C$9*1000000/Datos!$E$9</f>
        <v>62500000</v>
      </c>
    </row>
    <row r="7" spans="1:14" x14ac:dyDescent="0.2">
      <c r="A7" s="36" t="s">
        <v>12</v>
      </c>
      <c r="B7" s="22">
        <f>SUM(B2:B6)</f>
        <v>799800000</v>
      </c>
      <c r="C7" s="22">
        <f t="shared" ref="C7:K7" si="0">SUM(C2:C6)</f>
        <v>799800000</v>
      </c>
      <c r="D7" s="22">
        <f t="shared" si="0"/>
        <v>799800000</v>
      </c>
      <c r="E7" s="22">
        <f t="shared" si="0"/>
        <v>799800000</v>
      </c>
      <c r="F7" s="22">
        <f t="shared" si="0"/>
        <v>799800000</v>
      </c>
      <c r="G7" s="22">
        <f t="shared" si="0"/>
        <v>799800000</v>
      </c>
      <c r="H7" s="22">
        <f t="shared" si="0"/>
        <v>799800000</v>
      </c>
      <c r="I7" s="22">
        <f t="shared" si="0"/>
        <v>799800000</v>
      </c>
      <c r="J7" s="22">
        <f t="shared" si="0"/>
        <v>799800000</v>
      </c>
      <c r="K7" s="22">
        <f t="shared" si="0"/>
        <v>799800000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E71F-6DFA-A045-AE71-A6025EE383B4}">
  <dimension ref="A1:K7"/>
  <sheetViews>
    <sheetView workbookViewId="0">
      <selection activeCell="C25" sqref="C25"/>
    </sheetView>
  </sheetViews>
  <sheetFormatPr baseColWidth="10" defaultColWidth="11" defaultRowHeight="16" x14ac:dyDescent="0.2"/>
  <cols>
    <col min="1" max="1" width="30.5" customWidth="1"/>
    <col min="2" max="11" width="13.5" bestFit="1" customWidth="1"/>
  </cols>
  <sheetData>
    <row r="1" spans="1:11" x14ac:dyDescent="0.2">
      <c r="A1" s="32" t="s">
        <v>56</v>
      </c>
      <c r="B1" s="23" t="s">
        <v>57</v>
      </c>
      <c r="C1" s="23" t="s">
        <v>58</v>
      </c>
      <c r="D1" s="23" t="s">
        <v>59</v>
      </c>
      <c r="E1" s="23" t="s">
        <v>60</v>
      </c>
      <c r="F1" s="23" t="s">
        <v>61</v>
      </c>
      <c r="G1" s="23" t="s">
        <v>62</v>
      </c>
      <c r="H1" s="23" t="s">
        <v>63</v>
      </c>
      <c r="I1" s="23" t="s">
        <v>64</v>
      </c>
      <c r="J1" s="23" t="s">
        <v>65</v>
      </c>
      <c r="K1" s="23" t="s">
        <v>66</v>
      </c>
    </row>
    <row r="2" spans="1:11" x14ac:dyDescent="0.2">
      <c r="A2" s="33" t="s">
        <v>67</v>
      </c>
      <c r="B2" s="22">
        <f>1000000*Datos!$C$10*Datos!$C$25/5</f>
        <v>700000000</v>
      </c>
      <c r="C2" s="22">
        <f>1000000*Datos!$C$10*Datos!$C$25/5</f>
        <v>700000000</v>
      </c>
      <c r="D2" s="22">
        <f>1000000*Datos!$C$10*Datos!$C$25/5</f>
        <v>700000000</v>
      </c>
      <c r="E2" s="22">
        <f>1000000*Datos!$C$10*Datos!$C$25/5</f>
        <v>700000000</v>
      </c>
      <c r="F2" s="22">
        <f>1000000*Datos!$C$10*Datos!$C$25/5</f>
        <v>700000000</v>
      </c>
      <c r="G2" s="22">
        <v>0</v>
      </c>
      <c r="H2" s="22">
        <v>0</v>
      </c>
      <c r="I2" s="22">
        <v>0</v>
      </c>
      <c r="J2" s="22">
        <v>0</v>
      </c>
      <c r="K2" s="22">
        <v>0</v>
      </c>
    </row>
    <row r="3" spans="1:11" x14ac:dyDescent="0.2">
      <c r="A3" s="34" t="s">
        <v>68</v>
      </c>
      <c r="B3" s="22">
        <v>0</v>
      </c>
      <c r="C3" s="22">
        <v>0</v>
      </c>
      <c r="D3" s="22">
        <v>0</v>
      </c>
      <c r="E3" s="22">
        <v>0</v>
      </c>
      <c r="F3" s="22">
        <v>0</v>
      </c>
      <c r="G3" s="22">
        <f>1000000*Datos!$C$10*Datos!$C$25/5</f>
        <v>700000000</v>
      </c>
      <c r="H3" s="22">
        <f>1000000*Datos!$C$10*Datos!$C$25/5</f>
        <v>700000000</v>
      </c>
      <c r="I3" s="22">
        <f>1000000*Datos!$C$10*Datos!$C$25/5</f>
        <v>700000000</v>
      </c>
      <c r="J3" s="22">
        <f>1000000*Datos!$C$10*Datos!$C$25/5</f>
        <v>700000000</v>
      </c>
      <c r="K3" s="22">
        <f>1000000*Datos!$C$10*Datos!$C$25/5</f>
        <v>700000000</v>
      </c>
    </row>
    <row r="4" spans="1:11" x14ac:dyDescent="0.2">
      <c r="A4" s="33" t="s">
        <v>12</v>
      </c>
      <c r="B4" s="22">
        <f>SUM(B2:B3)</f>
        <v>700000000</v>
      </c>
      <c r="C4" s="22">
        <f t="shared" ref="C4:K4" si="0">SUM(C2:C3)</f>
        <v>700000000</v>
      </c>
      <c r="D4" s="22">
        <f t="shared" si="0"/>
        <v>700000000</v>
      </c>
      <c r="E4" s="22">
        <f t="shared" si="0"/>
        <v>700000000</v>
      </c>
      <c r="F4" s="22">
        <f t="shared" si="0"/>
        <v>700000000</v>
      </c>
      <c r="G4" s="22">
        <f t="shared" si="0"/>
        <v>700000000</v>
      </c>
      <c r="H4" s="22">
        <f t="shared" si="0"/>
        <v>700000000</v>
      </c>
      <c r="I4" s="22">
        <f t="shared" si="0"/>
        <v>700000000</v>
      </c>
      <c r="J4" s="22">
        <f t="shared" si="0"/>
        <v>700000000</v>
      </c>
      <c r="K4" s="22">
        <f t="shared" si="0"/>
        <v>700000000</v>
      </c>
    </row>
    <row r="5" spans="1:11" x14ac:dyDescent="0.2">
      <c r="B5" s="22"/>
      <c r="C5" s="22"/>
      <c r="D5" s="22"/>
      <c r="E5" s="22"/>
      <c r="F5" s="22"/>
      <c r="G5" s="22"/>
      <c r="H5" s="22"/>
      <c r="I5" s="22"/>
      <c r="J5" s="22"/>
      <c r="K5" s="22"/>
    </row>
    <row r="6" spans="1:11" x14ac:dyDescent="0.2">
      <c r="B6" s="22"/>
      <c r="C6" s="22"/>
      <c r="D6" s="22"/>
      <c r="E6" s="22"/>
      <c r="F6" s="22"/>
      <c r="G6" s="22"/>
      <c r="H6" s="22"/>
      <c r="I6" s="22"/>
      <c r="J6" s="22"/>
      <c r="K6" s="22"/>
    </row>
    <row r="7" spans="1:11" x14ac:dyDescent="0.2">
      <c r="B7" s="22"/>
      <c r="C7" s="22"/>
      <c r="D7" s="22"/>
      <c r="E7" s="22"/>
      <c r="F7" s="22"/>
      <c r="G7" s="22"/>
      <c r="H7" s="22"/>
      <c r="I7" s="22"/>
      <c r="J7" s="22"/>
      <c r="K7" s="2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A9445-2C08-43B0-8FE5-992216A9CA7B}">
  <dimension ref="A1:P88"/>
  <sheetViews>
    <sheetView showGridLines="0" tabSelected="1" topLeftCell="A7" zoomScale="91" zoomScaleNormal="91" workbookViewId="0">
      <selection activeCell="D36" sqref="D36"/>
    </sheetView>
  </sheetViews>
  <sheetFormatPr baseColWidth="10" defaultColWidth="11" defaultRowHeight="12" x14ac:dyDescent="0.15"/>
  <cols>
    <col min="1" max="1" width="11" style="96"/>
    <col min="2" max="2" width="37.5" style="110" customWidth="1"/>
    <col min="3" max="3" width="19" style="96" bestFit="1" customWidth="1"/>
    <col min="4" max="4" width="21.83203125" style="96" bestFit="1" customWidth="1"/>
    <col min="5" max="10" width="17.6640625" style="96" bestFit="1" customWidth="1"/>
    <col min="11" max="13" width="18.6640625" style="96" bestFit="1" customWidth="1"/>
    <col min="14" max="14" width="26.83203125" style="96" customWidth="1"/>
    <col min="15" max="15" width="34.5" style="96" bestFit="1" customWidth="1"/>
    <col min="16" max="16" width="17.6640625" style="96" bestFit="1" customWidth="1"/>
    <col min="17" max="16384" width="11" style="96"/>
  </cols>
  <sheetData>
    <row r="1" spans="1:14" s="95" customFormat="1" ht="13" x14ac:dyDescent="0.15">
      <c r="B1" s="112" t="s">
        <v>103</v>
      </c>
      <c r="C1" s="113" t="s">
        <v>104</v>
      </c>
      <c r="D1" s="113" t="s">
        <v>57</v>
      </c>
      <c r="E1" s="113" t="s">
        <v>58</v>
      </c>
      <c r="F1" s="113" t="s">
        <v>59</v>
      </c>
      <c r="G1" s="113" t="s">
        <v>60</v>
      </c>
      <c r="H1" s="113" t="s">
        <v>61</v>
      </c>
      <c r="I1" s="113" t="s">
        <v>62</v>
      </c>
      <c r="J1" s="113" t="s">
        <v>63</v>
      </c>
      <c r="K1" s="113" t="s">
        <v>64</v>
      </c>
      <c r="L1" s="113" t="s">
        <v>65</v>
      </c>
      <c r="M1" s="113" t="s">
        <v>66</v>
      </c>
      <c r="N1" s="113"/>
    </row>
    <row r="2" spans="1:14" ht="13" x14ac:dyDescent="0.15">
      <c r="B2" s="110" t="s">
        <v>105</v>
      </c>
      <c r="C2" s="111">
        <v>0</v>
      </c>
      <c r="D2" s="111">
        <v>1</v>
      </c>
      <c r="E2" s="111">
        <v>2</v>
      </c>
      <c r="F2" s="111">
        <v>3</v>
      </c>
      <c r="G2" s="111">
        <v>4</v>
      </c>
      <c r="H2" s="111">
        <v>5</v>
      </c>
      <c r="I2" s="111">
        <v>6</v>
      </c>
      <c r="J2" s="111">
        <v>7</v>
      </c>
      <c r="K2" s="111">
        <v>8</v>
      </c>
      <c r="L2" s="111">
        <v>9</v>
      </c>
      <c r="M2" s="111">
        <v>10</v>
      </c>
      <c r="N2" s="111"/>
    </row>
    <row r="4" spans="1:14" ht="13" x14ac:dyDescent="0.15">
      <c r="B4" s="116" t="s">
        <v>106</v>
      </c>
      <c r="C4" s="117"/>
      <c r="D4" s="97">
        <v>5.8400000000000001E-2</v>
      </c>
      <c r="E4" s="97">
        <v>6.8400000000000002E-2</v>
      </c>
      <c r="F4" s="97">
        <v>6.5799999999999997E-2</v>
      </c>
      <c r="G4" s="97">
        <v>6.3700000000000007E-2</v>
      </c>
      <c r="H4" s="97">
        <v>6.1749999999999985E-2</v>
      </c>
      <c r="I4" s="97">
        <v>5.8499999999999996E-2</v>
      </c>
      <c r="J4" s="97">
        <v>5.8150000000000007E-2</v>
      </c>
      <c r="K4" s="97">
        <v>5.8800000000000005E-2</v>
      </c>
      <c r="L4" s="97">
        <v>5.8600000000000013E-2</v>
      </c>
      <c r="M4" s="97">
        <v>5.8499999999999996E-2</v>
      </c>
    </row>
    <row r="5" spans="1:14" ht="13" x14ac:dyDescent="0.15">
      <c r="B5" s="114" t="s">
        <v>107</v>
      </c>
      <c r="C5" s="115"/>
      <c r="D5" s="99">
        <v>0.35</v>
      </c>
      <c r="E5" s="99">
        <v>0.35</v>
      </c>
      <c r="F5" s="99">
        <v>0.35</v>
      </c>
      <c r="G5" s="99">
        <v>0.35</v>
      </c>
      <c r="H5" s="99">
        <v>0.35</v>
      </c>
      <c r="I5" s="99">
        <v>0.35</v>
      </c>
      <c r="J5" s="99">
        <v>0.35</v>
      </c>
      <c r="K5" s="99">
        <v>0.35</v>
      </c>
      <c r="L5" s="99">
        <v>0.35</v>
      </c>
      <c r="M5" s="99">
        <v>0.35</v>
      </c>
    </row>
    <row r="8" spans="1:14" ht="13" x14ac:dyDescent="0.15">
      <c r="B8" s="110" t="s">
        <v>108</v>
      </c>
      <c r="D8" s="100">
        <f>6500000</f>
        <v>6500000</v>
      </c>
      <c r="E8" s="100">
        <f>D8*(1+D4)*(1+Datos!$C$31)</f>
        <v>7120385.9999999991</v>
      </c>
      <c r="F8" s="100">
        <f>E8*(1+E4)*(1+Datos!$C$31)</f>
        <v>7873680.1164839985</v>
      </c>
      <c r="G8" s="100">
        <f>F8*(1+F4)*(1+Datos!$C$31)</f>
        <v>8685480.1575338468</v>
      </c>
      <c r="H8" s="100">
        <f>G8*(1+G4)*(1+Datos!$C$31)</f>
        <v>9562101.327093659</v>
      </c>
      <c r="I8" s="100">
        <f>H8*(1+H4)*(1+Datos!$C$31)</f>
        <v>10507900.721983152</v>
      </c>
      <c r="J8" s="100">
        <f>I8*(1+I4)*(1+Datos!$C$31)</f>
        <v>11511904.366216835</v>
      </c>
      <c r="K8" s="100">
        <f>J8*(1+J4)*(1+Datos!$C$31)</f>
        <v>12607667.861291273</v>
      </c>
      <c r="L8" s="100">
        <f>K8*(1+K4)*(1+Datos!$C$31)</f>
        <v>13816213.68713893</v>
      </c>
      <c r="M8" s="100">
        <f>L8*(1+L4)*(1+Datos!$C$31)</f>
        <v>15137748.342527455</v>
      </c>
    </row>
    <row r="9" spans="1:14" ht="13" x14ac:dyDescent="0.15">
      <c r="B9" s="110" t="s">
        <v>109</v>
      </c>
      <c r="C9" s="122"/>
      <c r="D9" s="100">
        <f>2000000</f>
        <v>2000000</v>
      </c>
      <c r="E9" s="100">
        <f>D9*(1+D4)*(1+Datos!$C$23)</f>
        <v>2159136</v>
      </c>
      <c r="F9" s="100">
        <f>E9*(1+E4)*(1+Datos!$C$23)</f>
        <v>2352957.320448</v>
      </c>
      <c r="G9" s="100">
        <f>F9*(1+F4)*(1+Datos!$C$23)</f>
        <v>2557937.550376148</v>
      </c>
      <c r="H9" s="100">
        <f>G9*(1+G4)*(1+Datos!$C$23)</f>
        <v>2775295.7357818112</v>
      </c>
      <c r="I9" s="100">
        <f>H9*(1+H4)*(1+Datos!$C$23)</f>
        <v>3005603.6524156649</v>
      </c>
      <c r="J9" s="100">
        <f>I9*(1+I4)*(1+Datos!$C$23)</f>
        <v>3245060.095403621</v>
      </c>
      <c r="K9" s="100">
        <f>J9*(1+J4)*(1+Datos!$C$23)</f>
        <v>3502435.5467503686</v>
      </c>
      <c r="L9" s="100">
        <f>K9*(1+K4)*(1+Datos!$C$23)</f>
        <v>3782546.3320372761</v>
      </c>
      <c r="M9" s="100">
        <f>L9*(1+L4)*(1+Datos!$C$23)</f>
        <v>4084287.6180365537</v>
      </c>
    </row>
    <row r="10" spans="1:14" ht="13" x14ac:dyDescent="0.15">
      <c r="B10" s="114" t="s">
        <v>110</v>
      </c>
      <c r="C10" s="123"/>
      <c r="D10" s="101">
        <v>1000</v>
      </c>
      <c r="E10" s="101">
        <v>1000</v>
      </c>
      <c r="F10" s="101">
        <v>1000</v>
      </c>
      <c r="G10" s="101">
        <v>1500</v>
      </c>
      <c r="H10" s="101">
        <v>1500</v>
      </c>
      <c r="I10" s="101">
        <v>1500</v>
      </c>
      <c r="J10" s="101">
        <v>2500</v>
      </c>
      <c r="K10" s="101">
        <v>2500</v>
      </c>
      <c r="L10" s="101">
        <v>2500</v>
      </c>
      <c r="M10" s="101">
        <v>2500</v>
      </c>
    </row>
    <row r="11" spans="1:14" x14ac:dyDescent="0.15">
      <c r="D11" s="118"/>
      <c r="E11" s="118"/>
      <c r="F11" s="118"/>
      <c r="G11" s="118"/>
      <c r="H11" s="118"/>
      <c r="I11" s="118"/>
      <c r="J11" s="118"/>
      <c r="K11" s="118"/>
      <c r="L11" s="118"/>
      <c r="M11" s="118"/>
    </row>
    <row r="12" spans="1:14" x14ac:dyDescent="0.15">
      <c r="D12" s="118"/>
      <c r="E12" s="118"/>
      <c r="F12" s="118"/>
      <c r="G12" s="118"/>
      <c r="H12" s="118"/>
      <c r="I12" s="118"/>
      <c r="J12" s="118"/>
      <c r="K12" s="118"/>
      <c r="L12" s="118"/>
      <c r="M12" s="118"/>
    </row>
    <row r="13" spans="1:14" x14ac:dyDescent="0.15">
      <c r="D13" s="102"/>
      <c r="E13" s="102"/>
      <c r="F13" s="102"/>
      <c r="G13" s="102"/>
      <c r="H13" s="102"/>
      <c r="I13" s="102"/>
      <c r="J13" s="102"/>
      <c r="K13" s="102"/>
      <c r="L13" s="102"/>
      <c r="M13" s="102"/>
    </row>
    <row r="14" spans="1:14" ht="13" x14ac:dyDescent="0.15">
      <c r="B14" s="119" t="s">
        <v>310</v>
      </c>
      <c r="C14" s="120" t="s">
        <v>104</v>
      </c>
      <c r="D14" s="120" t="s">
        <v>57</v>
      </c>
      <c r="E14" s="120" t="s">
        <v>58</v>
      </c>
      <c r="F14" s="120" t="s">
        <v>59</v>
      </c>
      <c r="G14" s="120" t="s">
        <v>60</v>
      </c>
      <c r="H14" s="120" t="s">
        <v>61</v>
      </c>
      <c r="I14" s="120" t="s">
        <v>62</v>
      </c>
      <c r="J14" s="120" t="s">
        <v>63</v>
      </c>
      <c r="K14" s="120" t="s">
        <v>64</v>
      </c>
      <c r="L14" s="120" t="s">
        <v>65</v>
      </c>
      <c r="M14" s="120" t="s">
        <v>66</v>
      </c>
      <c r="N14" s="120" t="s">
        <v>287</v>
      </c>
    </row>
    <row r="15" spans="1:14" ht="13" x14ac:dyDescent="0.15">
      <c r="A15" s="98">
        <f>D15/$D$15</f>
        <v>1</v>
      </c>
      <c r="B15" s="110" t="s">
        <v>111</v>
      </c>
      <c r="D15" s="100">
        <f>D8*D10</f>
        <v>6500000000</v>
      </c>
      <c r="E15" s="100">
        <f t="shared" ref="E15:M15" si="0">E8*E10</f>
        <v>7120385999.999999</v>
      </c>
      <c r="F15" s="100">
        <f t="shared" si="0"/>
        <v>7873680116.4839983</v>
      </c>
      <c r="G15" s="100">
        <f t="shared" si="0"/>
        <v>13028220236.30077</v>
      </c>
      <c r="H15" s="100">
        <f t="shared" si="0"/>
        <v>14343151990.640488</v>
      </c>
      <c r="I15" s="100">
        <f t="shared" si="0"/>
        <v>15761851082.974728</v>
      </c>
      <c r="J15" s="100">
        <f t="shared" si="0"/>
        <v>28779760915.542088</v>
      </c>
      <c r="K15" s="100">
        <f t="shared" si="0"/>
        <v>31519169653.22818</v>
      </c>
      <c r="L15" s="100">
        <f t="shared" si="0"/>
        <v>34540534217.847328</v>
      </c>
      <c r="M15" s="100">
        <f t="shared" si="0"/>
        <v>37844370856.318634</v>
      </c>
    </row>
    <row r="16" spans="1:14" ht="13" x14ac:dyDescent="0.15">
      <c r="A16" s="98">
        <f t="shared" ref="A16:A29" si="1">D16/$D$15</f>
        <v>0.30769230769230771</v>
      </c>
      <c r="B16" s="110" t="s">
        <v>112</v>
      </c>
      <c r="D16" s="100">
        <f>D9*D10</f>
        <v>2000000000</v>
      </c>
      <c r="E16" s="100">
        <f t="shared" ref="E16:M16" si="2">E9*E10</f>
        <v>2159136000</v>
      </c>
      <c r="F16" s="100">
        <f t="shared" si="2"/>
        <v>2352957320.448</v>
      </c>
      <c r="G16" s="100">
        <f t="shared" si="2"/>
        <v>3836906325.5642219</v>
      </c>
      <c r="H16" s="100">
        <f t="shared" si="2"/>
        <v>4162943603.6727166</v>
      </c>
      <c r="I16" s="100">
        <f t="shared" si="2"/>
        <v>4508405478.623497</v>
      </c>
      <c r="J16" s="100">
        <f t="shared" si="2"/>
        <v>8112650238.5090523</v>
      </c>
      <c r="K16" s="100">
        <f t="shared" si="2"/>
        <v>8756088866.8759212</v>
      </c>
      <c r="L16" s="100">
        <f t="shared" si="2"/>
        <v>9456365830.0931911</v>
      </c>
      <c r="M16" s="100">
        <f t="shared" si="2"/>
        <v>10210719045.091385</v>
      </c>
    </row>
    <row r="17" spans="1:13" ht="13" x14ac:dyDescent="0.15">
      <c r="A17" s="98">
        <f t="shared" si="1"/>
        <v>4.6153846153846156E-2</v>
      </c>
      <c r="B17" s="110" t="s">
        <v>113</v>
      </c>
      <c r="D17" s="100">
        <f>Nómina!H3</f>
        <v>300000000</v>
      </c>
      <c r="E17" s="100">
        <f>D17*(1+D4)</f>
        <v>317520000</v>
      </c>
      <c r="F17" s="100">
        <f t="shared" ref="F17:M17" si="3">E17*(1+E4)</f>
        <v>339238368</v>
      </c>
      <c r="G17" s="100">
        <f t="shared" si="3"/>
        <v>361560252.61440003</v>
      </c>
      <c r="H17" s="100">
        <f t="shared" si="3"/>
        <v>384591640.70593733</v>
      </c>
      <c r="I17" s="100">
        <f t="shared" si="3"/>
        <v>408340174.51952893</v>
      </c>
      <c r="J17" s="100">
        <f t="shared" si="3"/>
        <v>432228074.72892135</v>
      </c>
      <c r="K17" s="100">
        <f t="shared" si="3"/>
        <v>457362137.2744081</v>
      </c>
      <c r="L17" s="100">
        <f t="shared" si="3"/>
        <v>484255030.94614327</v>
      </c>
      <c r="M17" s="100">
        <f t="shared" si="3"/>
        <v>512632375.75958723</v>
      </c>
    </row>
    <row r="18" spans="1:13" ht="13" x14ac:dyDescent="0.15">
      <c r="A18" s="98">
        <f t="shared" si="1"/>
        <v>5.5E-2</v>
      </c>
      <c r="B18" s="110" t="s">
        <v>161</v>
      </c>
      <c r="D18" s="100">
        <f>D15*Datos!$C$21</f>
        <v>357500000</v>
      </c>
      <c r="E18" s="100">
        <f>E15*Datos!$C$21</f>
        <v>391621229.99999994</v>
      </c>
      <c r="F18" s="100">
        <f>F15*Datos!$C$21</f>
        <v>433052406.40661991</v>
      </c>
      <c r="G18" s="100">
        <f>G15*Datos!$C$21</f>
        <v>716552112.99654233</v>
      </c>
      <c r="H18" s="100">
        <f>H15*Datos!$C$21</f>
        <v>788873359.48522687</v>
      </c>
      <c r="I18" s="100">
        <f>I15*Datos!$C$21</f>
        <v>866901809.56361008</v>
      </c>
      <c r="J18" s="100">
        <f>J15*Datos!$C$21</f>
        <v>1582886850.3548148</v>
      </c>
      <c r="K18" s="100">
        <f>K15*Datos!$C$21</f>
        <v>1733554330.9275498</v>
      </c>
      <c r="L18" s="100">
        <f>L15*Datos!$C$21</f>
        <v>1899729381.9816031</v>
      </c>
      <c r="M18" s="100">
        <f>M15*Datos!$C$21</f>
        <v>2081440397.0975249</v>
      </c>
    </row>
    <row r="19" spans="1:13" ht="13" x14ac:dyDescent="0.15">
      <c r="A19" s="98">
        <f t="shared" si="1"/>
        <v>0.59115384615384614</v>
      </c>
      <c r="B19" s="112" t="s">
        <v>114</v>
      </c>
      <c r="C19" s="95"/>
      <c r="D19" s="108">
        <f>D15-D16-D17-D18</f>
        <v>3842500000</v>
      </c>
      <c r="E19" s="108">
        <f t="shared" ref="E19:M19" si="4">E15-E16-E17-E18</f>
        <v>4252108769.999999</v>
      </c>
      <c r="F19" s="108">
        <f t="shared" si="4"/>
        <v>4748432021.6293783</v>
      </c>
      <c r="G19" s="108">
        <f t="shared" si="4"/>
        <v>8113201545.1256046</v>
      </c>
      <c r="H19" s="108">
        <f t="shared" si="4"/>
        <v>9006743386.7766075</v>
      </c>
      <c r="I19" s="108">
        <f t="shared" si="4"/>
        <v>9978203620.2680912</v>
      </c>
      <c r="J19" s="108">
        <f t="shared" si="4"/>
        <v>18651995751.949299</v>
      </c>
      <c r="K19" s="108">
        <f t="shared" si="4"/>
        <v>20572164318.150299</v>
      </c>
      <c r="L19" s="108">
        <f t="shared" si="4"/>
        <v>22700183974.826389</v>
      </c>
      <c r="M19" s="108">
        <f t="shared" si="4"/>
        <v>25039579038.370136</v>
      </c>
    </row>
    <row r="20" spans="1:13" ht="13" x14ac:dyDescent="0.15">
      <c r="A20" s="98">
        <f t="shared" si="1"/>
        <v>0.28615384615384615</v>
      </c>
      <c r="B20" s="110" t="s">
        <v>301</v>
      </c>
      <c r="D20" s="100">
        <f>Nómina!H4</f>
        <v>1860000000</v>
      </c>
      <c r="E20" s="100">
        <f>D20*(1+D4)</f>
        <v>1968624000</v>
      </c>
      <c r="F20" s="100">
        <f t="shared" ref="F20:L20" si="5">E20*(1+E4)</f>
        <v>2103277881.6000001</v>
      </c>
      <c r="G20" s="100">
        <f t="shared" si="5"/>
        <v>2241673566.2092805</v>
      </c>
      <c r="H20" s="100">
        <f t="shared" si="5"/>
        <v>2384468172.376812</v>
      </c>
      <c r="I20" s="100">
        <f t="shared" si="5"/>
        <v>2531709082.02108</v>
      </c>
      <c r="J20" s="100">
        <f t="shared" si="5"/>
        <v>2679814063.319313</v>
      </c>
      <c r="K20" s="100">
        <f t="shared" si="5"/>
        <v>2835645251.1013308</v>
      </c>
      <c r="L20" s="100">
        <f t="shared" si="5"/>
        <v>3002381191.8660889</v>
      </c>
      <c r="M20" s="100">
        <f>L20*(1+L4)</f>
        <v>3178320729.7094417</v>
      </c>
    </row>
    <row r="21" spans="1:13" ht="13" x14ac:dyDescent="0.15">
      <c r="A21" s="98">
        <f t="shared" si="1"/>
        <v>0.25</v>
      </c>
      <c r="B21" s="110" t="s">
        <v>115</v>
      </c>
      <c r="D21" s="100">
        <f>D15*Datos!$C$26</f>
        <v>1625000000</v>
      </c>
      <c r="E21" s="100">
        <f>E15*Datos!$C$26</f>
        <v>1780096499.9999998</v>
      </c>
      <c r="F21" s="100">
        <f>F15*Datos!$C$26</f>
        <v>1968420029.1209996</v>
      </c>
      <c r="G21" s="100">
        <f>G15*Datos!$C$26</f>
        <v>3257055059.0751925</v>
      </c>
      <c r="H21" s="100">
        <f>H15*Datos!$C$26</f>
        <v>3585787997.6601219</v>
      </c>
      <c r="I21" s="100">
        <f>I15*Datos!$C$26</f>
        <v>3940462770.7436819</v>
      </c>
      <c r="J21" s="100">
        <f>J15*Datos!$C$26</f>
        <v>7194940228.8855219</v>
      </c>
      <c r="K21" s="100">
        <f>K15*Datos!$C$26</f>
        <v>7879792413.307045</v>
      </c>
      <c r="L21" s="100">
        <f>L15*Datos!$C$26</f>
        <v>8635133554.461832</v>
      </c>
      <c r="M21" s="100">
        <f>M15*Datos!$C$26</f>
        <v>9461092714.0796585</v>
      </c>
    </row>
    <row r="22" spans="1:13" ht="13" x14ac:dyDescent="0.15">
      <c r="A22" s="98">
        <f t="shared" si="1"/>
        <v>0.12304615384615385</v>
      </c>
      <c r="B22" s="110" t="s">
        <v>116</v>
      </c>
      <c r="D22" s="100" cm="1">
        <f t="array" ref="D22:M22">Depreciaciones!B7:K7</f>
        <v>799800000</v>
      </c>
      <c r="E22" s="100">
        <v>799800000</v>
      </c>
      <c r="F22" s="100">
        <v>799800000</v>
      </c>
      <c r="G22" s="100">
        <v>799800000</v>
      </c>
      <c r="H22" s="100">
        <v>799800000</v>
      </c>
      <c r="I22" s="100">
        <v>799800000</v>
      </c>
      <c r="J22" s="100">
        <v>799800000</v>
      </c>
      <c r="K22" s="100">
        <v>799800000</v>
      </c>
      <c r="L22" s="100">
        <v>799800000</v>
      </c>
      <c r="M22" s="100">
        <v>799800000</v>
      </c>
    </row>
    <row r="23" spans="1:13" ht="13" x14ac:dyDescent="0.15">
      <c r="A23" s="98">
        <f t="shared" si="1"/>
        <v>0.1076923076923077</v>
      </c>
      <c r="B23" s="110" t="s">
        <v>83</v>
      </c>
      <c r="D23" s="100" cm="1">
        <f t="array" ref="D23:M23">Amortización!B4:K4</f>
        <v>700000000</v>
      </c>
      <c r="E23" s="100">
        <v>700000000</v>
      </c>
      <c r="F23" s="100">
        <v>700000000</v>
      </c>
      <c r="G23" s="100">
        <v>700000000</v>
      </c>
      <c r="H23" s="100">
        <v>700000000</v>
      </c>
      <c r="I23" s="100">
        <v>700000000</v>
      </c>
      <c r="J23" s="100">
        <v>700000000</v>
      </c>
      <c r="K23" s="100">
        <v>700000000</v>
      </c>
      <c r="L23" s="100">
        <v>700000000</v>
      </c>
      <c r="M23" s="100">
        <v>700000000</v>
      </c>
    </row>
    <row r="24" spans="1:13" ht="13" x14ac:dyDescent="0.15">
      <c r="A24" s="98">
        <f t="shared" si="1"/>
        <v>0.05</v>
      </c>
      <c r="B24" s="110" t="s">
        <v>28</v>
      </c>
      <c r="D24" s="100">
        <f>D15*Datos!$C$27</f>
        <v>325000000</v>
      </c>
      <c r="E24" s="100">
        <f>E15*Datos!$C$27</f>
        <v>356019300</v>
      </c>
      <c r="F24" s="100">
        <f>F15*Datos!$C$27</f>
        <v>393684005.82419991</v>
      </c>
      <c r="G24" s="100">
        <f>G15*Datos!$C$27</f>
        <v>651411011.81503856</v>
      </c>
      <c r="H24" s="100">
        <f>H15*Datos!$C$27</f>
        <v>717157599.53202438</v>
      </c>
      <c r="I24" s="100">
        <f>I15*Datos!$C$27</f>
        <v>788092554.14873648</v>
      </c>
      <c r="J24" s="100">
        <f>J15*Datos!$C$27</f>
        <v>1438988045.7771044</v>
      </c>
      <c r="K24" s="100">
        <f>K15*Datos!$C$27</f>
        <v>1575958482.6614091</v>
      </c>
      <c r="L24" s="100">
        <f>L15*Datos!$C$27</f>
        <v>1727026710.8923664</v>
      </c>
      <c r="M24" s="100">
        <f>M15*Datos!$C$27</f>
        <v>1892218542.8159318</v>
      </c>
    </row>
    <row r="25" spans="1:13" ht="13" x14ac:dyDescent="0.15">
      <c r="A25" s="98">
        <f t="shared" si="1"/>
        <v>-0.22573846153846153</v>
      </c>
      <c r="B25" s="112" t="s">
        <v>117</v>
      </c>
      <c r="C25" s="95"/>
      <c r="D25" s="108">
        <f t="shared" ref="D25:M25" si="6">D19-D20-D21-D22-D23-D24</f>
        <v>-1467300000</v>
      </c>
      <c r="E25" s="108">
        <f t="shared" si="6"/>
        <v>-1352431030.0000007</v>
      </c>
      <c r="F25" s="108">
        <f t="shared" si="6"/>
        <v>-1216749894.9158216</v>
      </c>
      <c r="G25" s="108">
        <f t="shared" si="6"/>
        <v>463261908.0260936</v>
      </c>
      <c r="H25" s="108">
        <f t="shared" si="6"/>
        <v>819529617.20764923</v>
      </c>
      <c r="I25" s="108">
        <f t="shared" si="6"/>
        <v>1218139213.3545928</v>
      </c>
      <c r="J25" s="108">
        <f t="shared" si="6"/>
        <v>5838453413.9673605</v>
      </c>
      <c r="K25" s="108">
        <f t="shared" si="6"/>
        <v>6780968171.0805149</v>
      </c>
      <c r="L25" s="108">
        <f t="shared" si="6"/>
        <v>7835842517.606102</v>
      </c>
      <c r="M25" s="108">
        <f t="shared" si="6"/>
        <v>9008147051.7651043</v>
      </c>
    </row>
    <row r="26" spans="1:13" ht="13" x14ac:dyDescent="0.15">
      <c r="A26" s="98">
        <f t="shared" si="1"/>
        <v>4.5010137965364981E-2</v>
      </c>
      <c r="B26" s="110" t="s">
        <v>118</v>
      </c>
      <c r="D26" s="100" cm="1">
        <f t="array" ref="D26:M26">TRANSPOSE(Bancos!J20:J29)*1000000</f>
        <v>292565896.77487236</v>
      </c>
      <c r="E26" s="100">
        <v>281594675.64581466</v>
      </c>
      <c r="F26" s="100">
        <v>252338085.96832746</v>
      </c>
      <c r="G26" s="100">
        <v>223081496.29084018</v>
      </c>
      <c r="H26" s="100">
        <v>193824906.61335295</v>
      </c>
      <c r="I26" s="100">
        <v>164568316.9358657</v>
      </c>
      <c r="J26" s="100">
        <v>135311727.25837848</v>
      </c>
      <c r="K26" s="100">
        <v>106055137.58089124</v>
      </c>
      <c r="L26" s="100">
        <v>76798547.903403997</v>
      </c>
      <c r="M26" s="100">
        <v>36570737.096859045</v>
      </c>
    </row>
    <row r="27" spans="1:13" ht="13" x14ac:dyDescent="0.15">
      <c r="A27" s="98">
        <f t="shared" si="1"/>
        <v>-0.27074859950382651</v>
      </c>
      <c r="B27" s="112" t="s">
        <v>119</v>
      </c>
      <c r="C27" s="95"/>
      <c r="D27" s="108">
        <f>D25-D26</f>
        <v>-1759865896.7748723</v>
      </c>
      <c r="E27" s="108">
        <f t="shared" ref="E27:M27" si="7">E25-E26</f>
        <v>-1634025705.6458154</v>
      </c>
      <c r="F27" s="108">
        <f t="shared" si="7"/>
        <v>-1469087980.8841491</v>
      </c>
      <c r="G27" s="108">
        <f t="shared" si="7"/>
        <v>240180411.73525342</v>
      </c>
      <c r="H27" s="108">
        <f t="shared" si="7"/>
        <v>625704710.59429622</v>
      </c>
      <c r="I27" s="108">
        <f t="shared" si="7"/>
        <v>1053570896.4187272</v>
      </c>
      <c r="J27" s="108">
        <f t="shared" si="7"/>
        <v>5703141686.7089825</v>
      </c>
      <c r="K27" s="108">
        <f t="shared" si="7"/>
        <v>6674913033.4996233</v>
      </c>
      <c r="L27" s="108">
        <f t="shared" si="7"/>
        <v>7759043969.7026978</v>
      </c>
      <c r="M27" s="108">
        <f t="shared" si="7"/>
        <v>8971576314.6682453</v>
      </c>
    </row>
    <row r="28" spans="1:13" ht="13" x14ac:dyDescent="0.15">
      <c r="A28" s="98">
        <f t="shared" si="1"/>
        <v>0</v>
      </c>
      <c r="B28" s="110" t="s">
        <v>120</v>
      </c>
      <c r="D28" s="100">
        <f t="shared" ref="D28:M28" si="8">IF(D27&lt;0,0,D27*D5)</f>
        <v>0</v>
      </c>
      <c r="E28" s="100">
        <f t="shared" si="8"/>
        <v>0</v>
      </c>
      <c r="F28" s="100">
        <f t="shared" si="8"/>
        <v>0</v>
      </c>
      <c r="G28" s="100">
        <f t="shared" si="8"/>
        <v>84063144.107338697</v>
      </c>
      <c r="H28" s="100">
        <f t="shared" si="8"/>
        <v>218996648.70800367</v>
      </c>
      <c r="I28" s="100">
        <f t="shared" si="8"/>
        <v>368749813.74655449</v>
      </c>
      <c r="J28" s="100">
        <f t="shared" si="8"/>
        <v>1996099590.3481438</v>
      </c>
      <c r="K28" s="100">
        <f t="shared" si="8"/>
        <v>2336219561.7248678</v>
      </c>
      <c r="L28" s="100">
        <f t="shared" si="8"/>
        <v>2715665389.3959441</v>
      </c>
      <c r="M28" s="100">
        <f t="shared" si="8"/>
        <v>3140051710.1338859</v>
      </c>
    </row>
    <row r="29" spans="1:13" ht="13" x14ac:dyDescent="0.15">
      <c r="A29" s="98">
        <f t="shared" si="1"/>
        <v>-0.27074859950382651</v>
      </c>
      <c r="B29" s="112" t="s">
        <v>121</v>
      </c>
      <c r="C29" s="95"/>
      <c r="D29" s="108">
        <f>D27-D28</f>
        <v>-1759865896.7748723</v>
      </c>
      <c r="E29" s="108">
        <f t="shared" ref="E29:M29" si="9">E27-E28</f>
        <v>-1634025705.6458154</v>
      </c>
      <c r="F29" s="108">
        <f t="shared" si="9"/>
        <v>-1469087980.8841491</v>
      </c>
      <c r="G29" s="108">
        <f t="shared" si="9"/>
        <v>156117267.62791473</v>
      </c>
      <c r="H29" s="108">
        <f t="shared" si="9"/>
        <v>406708061.88629258</v>
      </c>
      <c r="I29" s="108">
        <f t="shared" si="9"/>
        <v>684821082.67217267</v>
      </c>
      <c r="J29" s="108">
        <f t="shared" si="9"/>
        <v>3707042096.3608389</v>
      </c>
      <c r="K29" s="108">
        <f t="shared" si="9"/>
        <v>4338693471.7747555</v>
      </c>
      <c r="L29" s="108">
        <f t="shared" si="9"/>
        <v>5043378580.3067532</v>
      </c>
      <c r="M29" s="108">
        <f t="shared" si="9"/>
        <v>5831524604.534359</v>
      </c>
    </row>
    <row r="30" spans="1:13" x14ac:dyDescent="0.15">
      <c r="A30" s="98"/>
      <c r="D30" s="100"/>
      <c r="E30" s="100"/>
      <c r="F30" s="100"/>
      <c r="G30" s="100"/>
      <c r="H30" s="100"/>
      <c r="I30" s="100"/>
      <c r="J30" s="100"/>
      <c r="K30" s="100"/>
      <c r="L30" s="100"/>
      <c r="M30" s="100"/>
    </row>
    <row r="31" spans="1:13" ht="13" x14ac:dyDescent="0.15">
      <c r="A31" s="98"/>
      <c r="B31" s="112" t="s">
        <v>286</v>
      </c>
      <c r="C31" s="95"/>
      <c r="D31" s="108">
        <f>D25+D22+D23</f>
        <v>32500000</v>
      </c>
      <c r="E31" s="108">
        <f>E25+E22+E23</f>
        <v>147368969.99999928</v>
      </c>
      <c r="F31" s="108">
        <f t="shared" ref="F31:M31" si="10">F25+F22+F23</f>
        <v>283050105.08417845</v>
      </c>
      <c r="G31" s="108">
        <f t="shared" si="10"/>
        <v>1963061908.0260935</v>
      </c>
      <c r="H31" s="108">
        <f t="shared" si="10"/>
        <v>2319329617.2076492</v>
      </c>
      <c r="I31" s="108">
        <f t="shared" si="10"/>
        <v>2717939213.3545928</v>
      </c>
      <c r="J31" s="108">
        <f t="shared" si="10"/>
        <v>7338253413.9673605</v>
      </c>
      <c r="K31" s="108">
        <f t="shared" si="10"/>
        <v>8280768171.0805149</v>
      </c>
      <c r="L31" s="108">
        <f t="shared" si="10"/>
        <v>9335642517.606102</v>
      </c>
      <c r="M31" s="108">
        <f t="shared" si="10"/>
        <v>10507947051.765104</v>
      </c>
    </row>
    <row r="32" spans="1:13" x14ac:dyDescent="0.15">
      <c r="A32" s="98"/>
      <c r="D32" s="124"/>
    </row>
    <row r="33" spans="1:16" ht="13" x14ac:dyDescent="0.15">
      <c r="A33" s="98">
        <f t="shared" ref="A16:A36" si="11">D33/$D$15</f>
        <v>0.2638888888888889</v>
      </c>
      <c r="B33" s="110" t="s">
        <v>122</v>
      </c>
      <c r="D33" s="100">
        <f>(Datos!$C$28/360)*'Estado de resultados'!D15</f>
        <v>1715277777.7777779</v>
      </c>
      <c r="E33" s="100">
        <f>(Datos!$C$28/360)*'Estado de resultados'!E15</f>
        <v>1878990749.9999998</v>
      </c>
      <c r="F33" s="100">
        <f>(Datos!$C$28/360)*'Estado de resultados'!F15</f>
        <v>2077776697.4054997</v>
      </c>
      <c r="G33" s="100">
        <f>(Datos!$C$28/360)*'Estado de resultados'!G15</f>
        <v>3438002562.3571477</v>
      </c>
      <c r="H33" s="100">
        <f>(Datos!$C$28/360)*'Estado de resultados'!H15</f>
        <v>3784998441.9745731</v>
      </c>
      <c r="I33" s="100">
        <f>(Datos!$C$28/360)*'Estado de resultados'!I15</f>
        <v>4159377369.118331</v>
      </c>
      <c r="J33" s="100">
        <f>(Datos!$C$28/360)*'Estado de resultados'!J15</f>
        <v>7594659130.4902735</v>
      </c>
      <c r="K33" s="100">
        <f>(Datos!$C$28/360)*'Estado de resultados'!K15</f>
        <v>8317558658.4907703</v>
      </c>
      <c r="L33" s="100">
        <f>(Datos!$C$28/360)*'Estado de resultados'!L15</f>
        <v>9114863196.376379</v>
      </c>
      <c r="M33" s="100">
        <f>(Datos!$C$28/360)*'Estado de resultados'!M15</f>
        <v>9986708975.9729729</v>
      </c>
    </row>
    <row r="34" spans="1:16" ht="13" x14ac:dyDescent="0.15">
      <c r="A34" s="98"/>
      <c r="B34" s="112" t="s">
        <v>123</v>
      </c>
      <c r="D34" s="100">
        <f>D33</f>
        <v>1715277777.7777779</v>
      </c>
      <c r="E34" s="100">
        <f t="shared" ref="E34:M34" si="12">E33</f>
        <v>1878990749.9999998</v>
      </c>
      <c r="F34" s="100">
        <f t="shared" si="12"/>
        <v>2077776697.4054997</v>
      </c>
      <c r="G34" s="100">
        <f t="shared" si="12"/>
        <v>3438002562.3571477</v>
      </c>
      <c r="H34" s="100">
        <f t="shared" si="12"/>
        <v>3784998441.9745731</v>
      </c>
      <c r="I34" s="100">
        <f t="shared" si="12"/>
        <v>4159377369.118331</v>
      </c>
      <c r="J34" s="100">
        <f t="shared" si="12"/>
        <v>7594659130.4902735</v>
      </c>
      <c r="K34" s="100">
        <f t="shared" si="12"/>
        <v>8317558658.4907703</v>
      </c>
      <c r="L34" s="100">
        <f t="shared" si="12"/>
        <v>9114863196.376379</v>
      </c>
      <c r="M34" s="100">
        <f t="shared" si="12"/>
        <v>9986708975.9729729</v>
      </c>
    </row>
    <row r="35" spans="1:16" ht="13" x14ac:dyDescent="0.15">
      <c r="A35" s="98">
        <f t="shared" si="11"/>
        <v>1.7094017094017092E-2</v>
      </c>
      <c r="B35" s="110" t="s">
        <v>273</v>
      </c>
      <c r="D35" s="100">
        <f>(Datos!$C$29/360)*'Estado de resultados'!D16</f>
        <v>111111111.1111111</v>
      </c>
      <c r="E35" s="100">
        <f>(Datos!$C$29/360)*'Estado de resultados'!E16</f>
        <v>119952000</v>
      </c>
      <c r="F35" s="100">
        <f>(Datos!$C$29/360)*'Estado de resultados'!F16</f>
        <v>130719851.13599999</v>
      </c>
      <c r="G35" s="100">
        <f>(Datos!$C$29/360)*'Estado de resultados'!G16</f>
        <v>213161462.53134564</v>
      </c>
      <c r="H35" s="100">
        <f>(Datos!$C$29/360)*'Estado de resultados'!H16</f>
        <v>231274644.64848423</v>
      </c>
      <c r="I35" s="100">
        <f>(Datos!$C$29/360)*'Estado de resultados'!I16</f>
        <v>250466971.0346387</v>
      </c>
      <c r="J35" s="100">
        <f>(Datos!$C$29/360)*'Estado de resultados'!J16</f>
        <v>450702791.02828068</v>
      </c>
      <c r="K35" s="100">
        <f>(Datos!$C$29/360)*'Estado de resultados'!K16</f>
        <v>486449381.49310672</v>
      </c>
      <c r="L35" s="100">
        <f>(Datos!$C$29/360)*'Estado de resultados'!L16</f>
        <v>525353657.22739947</v>
      </c>
      <c r="M35" s="100">
        <f>(Datos!$C$29/360)*'Estado de resultados'!M16</f>
        <v>567262169.17174363</v>
      </c>
    </row>
    <row r="36" spans="1:16" ht="13" x14ac:dyDescent="0.15">
      <c r="A36" s="98">
        <f t="shared" si="11"/>
        <v>0</v>
      </c>
      <c r="B36" s="110" t="s">
        <v>124</v>
      </c>
      <c r="D36" s="100">
        <f>D28</f>
        <v>0</v>
      </c>
      <c r="E36" s="100">
        <f t="shared" ref="E36:M36" si="13">E28</f>
        <v>0</v>
      </c>
      <c r="F36" s="100">
        <f t="shared" si="13"/>
        <v>0</v>
      </c>
      <c r="G36" s="100">
        <f t="shared" si="13"/>
        <v>84063144.107338697</v>
      </c>
      <c r="H36" s="100">
        <f t="shared" si="13"/>
        <v>218996648.70800367</v>
      </c>
      <c r="I36" s="100">
        <f t="shared" si="13"/>
        <v>368749813.74655449</v>
      </c>
      <c r="J36" s="100">
        <f t="shared" si="13"/>
        <v>1996099590.3481438</v>
      </c>
      <c r="K36" s="100">
        <f t="shared" si="13"/>
        <v>2336219561.7248678</v>
      </c>
      <c r="L36" s="100">
        <f t="shared" si="13"/>
        <v>2715665389.3959441</v>
      </c>
      <c r="M36" s="100">
        <f t="shared" si="13"/>
        <v>3140051710.1338859</v>
      </c>
    </row>
    <row r="37" spans="1:16" ht="13" x14ac:dyDescent="0.15">
      <c r="A37" s="98"/>
      <c r="B37" s="112" t="s">
        <v>125</v>
      </c>
      <c r="C37" s="95"/>
      <c r="D37" s="108">
        <f>D34-D35-D36</f>
        <v>1604166666.6666667</v>
      </c>
      <c r="E37" s="108">
        <f>E34-E35-E36</f>
        <v>1759038749.9999998</v>
      </c>
      <c r="F37" s="108">
        <f t="shared" ref="F37:M37" si="14">F34-F35-F36</f>
        <v>1947056846.2694998</v>
      </c>
      <c r="G37" s="108">
        <f t="shared" si="14"/>
        <v>3140777955.7184629</v>
      </c>
      <c r="H37" s="108">
        <f t="shared" si="14"/>
        <v>3334727148.6180854</v>
      </c>
      <c r="I37" s="108">
        <f t="shared" si="14"/>
        <v>3540160584.3371377</v>
      </c>
      <c r="J37" s="108">
        <f t="shared" si="14"/>
        <v>5147856749.1138496</v>
      </c>
      <c r="K37" s="108">
        <f t="shared" si="14"/>
        <v>5494889715.2727957</v>
      </c>
      <c r="L37" s="108">
        <f t="shared" si="14"/>
        <v>5873844149.7530346</v>
      </c>
      <c r="M37" s="108">
        <f t="shared" si="14"/>
        <v>6279395096.6673431</v>
      </c>
      <c r="O37" s="96" t="s">
        <v>99</v>
      </c>
      <c r="P37" s="104">
        <v>0.3</v>
      </c>
    </row>
    <row r="38" spans="1:16" ht="13" x14ac:dyDescent="0.15">
      <c r="A38" s="98"/>
      <c r="B38" s="112" t="s">
        <v>126</v>
      </c>
      <c r="C38" s="95"/>
      <c r="D38" s="108">
        <f>D37</f>
        <v>1604166666.6666667</v>
      </c>
      <c r="E38" s="108">
        <f>E37-D37</f>
        <v>154872083.33333302</v>
      </c>
      <c r="F38" s="108">
        <f t="shared" ref="F38:M38" si="15">F37-E37</f>
        <v>188018096.26950002</v>
      </c>
      <c r="G38" s="108">
        <f t="shared" si="15"/>
        <v>1193721109.4489632</v>
      </c>
      <c r="H38" s="108">
        <f t="shared" si="15"/>
        <v>193949192.89962244</v>
      </c>
      <c r="I38" s="108">
        <f t="shared" si="15"/>
        <v>205433435.71905231</v>
      </c>
      <c r="J38" s="108">
        <f t="shared" si="15"/>
        <v>1607696164.7767119</v>
      </c>
      <c r="K38" s="108">
        <f t="shared" si="15"/>
        <v>347032966.15894604</v>
      </c>
      <c r="L38" s="108">
        <f t="shared" si="15"/>
        <v>378954434.48023891</v>
      </c>
      <c r="M38" s="108">
        <f t="shared" si="15"/>
        <v>405550946.91430855</v>
      </c>
      <c r="O38" s="96" t="s">
        <v>100</v>
      </c>
      <c r="P38" s="104">
        <v>0.105</v>
      </c>
    </row>
    <row r="39" spans="1:16" x14ac:dyDescent="0.15">
      <c r="A39" s="98"/>
      <c r="D39" s="100"/>
      <c r="E39" s="100"/>
      <c r="F39" s="100"/>
      <c r="G39" s="100"/>
      <c r="H39" s="100"/>
      <c r="I39" s="100"/>
      <c r="J39" s="100"/>
      <c r="K39" s="100"/>
      <c r="L39" s="100"/>
      <c r="M39" s="100"/>
      <c r="O39" s="96" t="s">
        <v>101</v>
      </c>
      <c r="P39" s="104">
        <v>0.15</v>
      </c>
    </row>
    <row r="40" spans="1:16" ht="13" x14ac:dyDescent="0.15">
      <c r="A40" s="98"/>
      <c r="B40" s="110" t="s">
        <v>127</v>
      </c>
      <c r="C40" s="108">
        <f>Datos!C10*1000000</f>
        <v>14000000000</v>
      </c>
      <c r="D40" s="100">
        <f>C40</f>
        <v>14000000000</v>
      </c>
      <c r="E40" s="100">
        <f t="shared" ref="E40:M40" si="16">D40</f>
        <v>14000000000</v>
      </c>
      <c r="F40" s="100">
        <f t="shared" si="16"/>
        <v>14000000000</v>
      </c>
      <c r="G40" s="100">
        <f t="shared" si="16"/>
        <v>14000000000</v>
      </c>
      <c r="H40" s="100">
        <f t="shared" si="16"/>
        <v>14000000000</v>
      </c>
      <c r="I40" s="100">
        <f t="shared" si="16"/>
        <v>14000000000</v>
      </c>
      <c r="J40" s="100">
        <f t="shared" si="16"/>
        <v>14000000000</v>
      </c>
      <c r="K40" s="100">
        <f t="shared" si="16"/>
        <v>14000000000</v>
      </c>
      <c r="L40" s="100">
        <f t="shared" si="16"/>
        <v>14000000000</v>
      </c>
      <c r="M40" s="100">
        <f t="shared" si="16"/>
        <v>14000000000</v>
      </c>
    </row>
    <row r="41" spans="1:16" ht="13" x14ac:dyDescent="0.15">
      <c r="A41" s="98"/>
      <c r="B41" s="110" t="s">
        <v>128</v>
      </c>
      <c r="D41" s="100">
        <f>D22</f>
        <v>799800000</v>
      </c>
      <c r="E41" s="100">
        <f t="shared" ref="E41:M41" si="17">E22</f>
        <v>799800000</v>
      </c>
      <c r="F41" s="100">
        <f t="shared" si="17"/>
        <v>799800000</v>
      </c>
      <c r="G41" s="100">
        <f t="shared" si="17"/>
        <v>799800000</v>
      </c>
      <c r="H41" s="100">
        <f t="shared" si="17"/>
        <v>799800000</v>
      </c>
      <c r="I41" s="100">
        <f t="shared" si="17"/>
        <v>799800000</v>
      </c>
      <c r="J41" s="100">
        <f t="shared" si="17"/>
        <v>799800000</v>
      </c>
      <c r="K41" s="100">
        <f t="shared" si="17"/>
        <v>799800000</v>
      </c>
      <c r="L41" s="100">
        <f t="shared" si="17"/>
        <v>799800000</v>
      </c>
      <c r="M41" s="100">
        <f t="shared" si="17"/>
        <v>799800000</v>
      </c>
      <c r="O41" s="96" t="s">
        <v>288</v>
      </c>
      <c r="P41" s="105">
        <f>Datos!$C$10*1000000*P37</f>
        <v>4200000000</v>
      </c>
    </row>
    <row r="42" spans="1:16" ht="13" x14ac:dyDescent="0.15">
      <c r="A42" s="98"/>
      <c r="B42" s="112" t="s">
        <v>129</v>
      </c>
      <c r="C42" s="95"/>
      <c r="D42" s="108">
        <f>D40-D41</f>
        <v>13200200000</v>
      </c>
      <c r="E42" s="108">
        <f>D42-E41</f>
        <v>12400400000</v>
      </c>
      <c r="F42" s="108">
        <f t="shared" ref="F42:M42" si="18">E42-F41</f>
        <v>11600600000</v>
      </c>
      <c r="G42" s="108">
        <f t="shared" si="18"/>
        <v>10800800000</v>
      </c>
      <c r="H42" s="108">
        <f t="shared" si="18"/>
        <v>10001000000</v>
      </c>
      <c r="I42" s="108">
        <f t="shared" si="18"/>
        <v>9201200000</v>
      </c>
      <c r="J42" s="108">
        <f t="shared" si="18"/>
        <v>8401400000</v>
      </c>
      <c r="K42" s="108">
        <f t="shared" si="18"/>
        <v>7601600000</v>
      </c>
      <c r="L42" s="108">
        <f t="shared" si="18"/>
        <v>6801800000</v>
      </c>
      <c r="M42" s="108">
        <f t="shared" si="18"/>
        <v>6002000000</v>
      </c>
      <c r="N42" s="100"/>
      <c r="O42" s="96" t="s">
        <v>289</v>
      </c>
      <c r="P42" s="103">
        <f>M42</f>
        <v>6002000000</v>
      </c>
    </row>
    <row r="43" spans="1:16" x14ac:dyDescent="0.15">
      <c r="A43" s="98"/>
      <c r="B43" s="112"/>
      <c r="C43" s="95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O43" s="96" t="s">
        <v>121</v>
      </c>
      <c r="P43" s="105">
        <f>P41-P42</f>
        <v>-1802000000</v>
      </c>
    </row>
    <row r="44" spans="1:16" ht="13" x14ac:dyDescent="0.15">
      <c r="A44" s="98"/>
      <c r="B44" s="112" t="s">
        <v>311</v>
      </c>
      <c r="C44" s="95"/>
      <c r="D44" s="108">
        <f>D42+D37</f>
        <v>14804366666.666666</v>
      </c>
      <c r="E44" s="108">
        <f>E42+E37</f>
        <v>14159438750</v>
      </c>
      <c r="F44" s="108">
        <f t="shared" ref="F44:L44" si="19">F42+F37</f>
        <v>13547656846.269501</v>
      </c>
      <c r="G44" s="108">
        <f t="shared" si="19"/>
        <v>13941577955.718464</v>
      </c>
      <c r="H44" s="108">
        <f t="shared" si="19"/>
        <v>13335727148.618086</v>
      </c>
      <c r="I44" s="108">
        <f t="shared" si="19"/>
        <v>12741360584.337137</v>
      </c>
      <c r="J44" s="108">
        <f t="shared" si="19"/>
        <v>13549256749.11385</v>
      </c>
      <c r="K44" s="108">
        <f t="shared" si="19"/>
        <v>13096489715.272797</v>
      </c>
      <c r="L44" s="108">
        <f t="shared" si="19"/>
        <v>12675644149.753035</v>
      </c>
      <c r="M44" s="108">
        <f>M42+M37</f>
        <v>12281395096.667343</v>
      </c>
      <c r="O44" s="96" t="s">
        <v>290</v>
      </c>
      <c r="P44" s="96">
        <f>IF(P43&lt;0,0,P43*P39)</f>
        <v>0</v>
      </c>
    </row>
    <row r="45" spans="1:16" x14ac:dyDescent="0.15">
      <c r="B45" s="112"/>
      <c r="D45" s="103"/>
      <c r="E45" s="103"/>
      <c r="F45" s="103"/>
      <c r="G45" s="103"/>
      <c r="H45" s="103"/>
      <c r="I45" s="103"/>
      <c r="J45" s="103"/>
      <c r="K45" s="103"/>
      <c r="L45" s="103"/>
      <c r="M45" s="103"/>
    </row>
    <row r="46" spans="1:16" x14ac:dyDescent="0.15">
      <c r="O46" s="96" t="s">
        <v>292</v>
      </c>
      <c r="P46" s="105">
        <f>P41-P44</f>
        <v>4200000000</v>
      </c>
    </row>
    <row r="47" spans="1:16" ht="13" x14ac:dyDescent="0.15">
      <c r="B47" s="119" t="s">
        <v>312</v>
      </c>
      <c r="C47" s="121" t="s">
        <v>104</v>
      </c>
      <c r="D47" s="121" t="s">
        <v>57</v>
      </c>
      <c r="E47" s="121" t="s">
        <v>58</v>
      </c>
      <c r="F47" s="121" t="s">
        <v>59</v>
      </c>
      <c r="G47" s="121" t="s">
        <v>60</v>
      </c>
      <c r="H47" s="121" t="s">
        <v>61</v>
      </c>
      <c r="I47" s="121" t="s">
        <v>62</v>
      </c>
      <c r="J47" s="121" t="s">
        <v>63</v>
      </c>
      <c r="K47" s="121" t="s">
        <v>64</v>
      </c>
      <c r="L47" s="121" t="s">
        <v>65</v>
      </c>
      <c r="M47" s="121" t="s">
        <v>66</v>
      </c>
      <c r="N47" s="121" t="s">
        <v>287</v>
      </c>
      <c r="O47" s="96" t="s">
        <v>291</v>
      </c>
      <c r="P47" s="105">
        <f>Datos!$C$10*'Estado de resultados'!P38*1000000</f>
        <v>1470000000</v>
      </c>
    </row>
    <row r="48" spans="1:16" ht="13" x14ac:dyDescent="0.15">
      <c r="B48" s="110" t="s">
        <v>117</v>
      </c>
      <c r="C48" s="100"/>
      <c r="D48" s="100">
        <f>D25</f>
        <v>-1467300000</v>
      </c>
      <c r="E48" s="100">
        <f t="shared" ref="E48:M48" si="20">E25</f>
        <v>-1352431030.0000007</v>
      </c>
      <c r="F48" s="100">
        <f t="shared" si="20"/>
        <v>-1216749894.9158216</v>
      </c>
      <c r="G48" s="100">
        <f t="shared" si="20"/>
        <v>463261908.0260936</v>
      </c>
      <c r="H48" s="100">
        <f t="shared" si="20"/>
        <v>819529617.20764923</v>
      </c>
      <c r="I48" s="100">
        <f t="shared" si="20"/>
        <v>1218139213.3545928</v>
      </c>
      <c r="J48" s="100">
        <f t="shared" si="20"/>
        <v>5838453413.9673605</v>
      </c>
      <c r="K48" s="100">
        <f t="shared" si="20"/>
        <v>6780968171.0805149</v>
      </c>
      <c r="L48" s="100">
        <f t="shared" si="20"/>
        <v>7835842517.606102</v>
      </c>
      <c r="M48" s="100">
        <f t="shared" si="20"/>
        <v>9008147051.7651043</v>
      </c>
      <c r="O48" s="96" t="s">
        <v>293</v>
      </c>
      <c r="P48" s="105">
        <f>P46-P47</f>
        <v>2730000000</v>
      </c>
    </row>
    <row r="49" spans="2:14" ht="13" x14ac:dyDescent="0.15">
      <c r="B49" s="110" t="s">
        <v>313</v>
      </c>
      <c r="C49" s="100"/>
      <c r="D49" s="100">
        <f t="shared" ref="D49:M49" si="21">IF(D48&lt;0,0,D48*D5)</f>
        <v>0</v>
      </c>
      <c r="E49" s="100">
        <f t="shared" si="21"/>
        <v>0</v>
      </c>
      <c r="F49" s="100">
        <f t="shared" si="21"/>
        <v>0</v>
      </c>
      <c r="G49" s="100">
        <f t="shared" si="21"/>
        <v>162141667.80913275</v>
      </c>
      <c r="H49" s="100">
        <f t="shared" si="21"/>
        <v>286835366.02267718</v>
      </c>
      <c r="I49" s="100">
        <f t="shared" si="21"/>
        <v>426348724.67410743</v>
      </c>
      <c r="J49" s="100">
        <f t="shared" si="21"/>
        <v>2043458694.888576</v>
      </c>
      <c r="K49" s="100">
        <f t="shared" si="21"/>
        <v>2373338859.87818</v>
      </c>
      <c r="L49" s="100">
        <f t="shared" si="21"/>
        <v>2742544881.1621356</v>
      </c>
      <c r="M49" s="100">
        <f t="shared" si="21"/>
        <v>3152851468.1177864</v>
      </c>
    </row>
    <row r="50" spans="2:14" s="95" customFormat="1" ht="13" x14ac:dyDescent="0.15">
      <c r="B50" s="112" t="s">
        <v>131</v>
      </c>
      <c r="C50" s="108"/>
      <c r="D50" s="108">
        <f>D48-D49</f>
        <v>-1467300000</v>
      </c>
      <c r="E50" s="108">
        <f t="shared" ref="E50:M50" si="22">E48-E49</f>
        <v>-1352431030.0000007</v>
      </c>
      <c r="F50" s="108">
        <f t="shared" si="22"/>
        <v>-1216749894.9158216</v>
      </c>
      <c r="G50" s="108">
        <f t="shared" si="22"/>
        <v>301120240.21696085</v>
      </c>
      <c r="H50" s="108">
        <f t="shared" si="22"/>
        <v>532694251.18497205</v>
      </c>
      <c r="I50" s="108">
        <f t="shared" si="22"/>
        <v>791790488.68048537</v>
      </c>
      <c r="J50" s="108">
        <f t="shared" si="22"/>
        <v>3794994719.0787845</v>
      </c>
      <c r="K50" s="108">
        <f t="shared" si="22"/>
        <v>4407629311.2023354</v>
      </c>
      <c r="L50" s="108">
        <f t="shared" si="22"/>
        <v>5093297636.4439659</v>
      </c>
      <c r="M50" s="108">
        <f t="shared" si="22"/>
        <v>5855295583.6473179</v>
      </c>
    </row>
    <row r="51" spans="2:14" ht="13" x14ac:dyDescent="0.15">
      <c r="B51" s="110" t="s">
        <v>132</v>
      </c>
      <c r="C51" s="100"/>
      <c r="D51" s="100" cm="1">
        <f t="array" ref="D51:M51">_xlfn.ANCHORARRAY(D22)</f>
        <v>799800000</v>
      </c>
      <c r="E51" s="100">
        <v>799800000</v>
      </c>
      <c r="F51" s="100">
        <v>799800000</v>
      </c>
      <c r="G51" s="100">
        <v>799800000</v>
      </c>
      <c r="H51" s="100">
        <v>799800000</v>
      </c>
      <c r="I51" s="100">
        <v>799800000</v>
      </c>
      <c r="J51" s="100">
        <v>799800000</v>
      </c>
      <c r="K51" s="100">
        <v>799800000</v>
      </c>
      <c r="L51" s="100">
        <v>799800000</v>
      </c>
      <c r="M51" s="100">
        <v>799800000</v>
      </c>
    </row>
    <row r="52" spans="2:14" ht="13" x14ac:dyDescent="0.15">
      <c r="B52" s="110" t="s">
        <v>133</v>
      </c>
      <c r="C52" s="100"/>
      <c r="D52" s="100" cm="1">
        <f t="array" ref="D52:M52">_xlfn.ANCHORARRAY(D23)</f>
        <v>700000000</v>
      </c>
      <c r="E52" s="100">
        <v>700000000</v>
      </c>
      <c r="F52" s="100">
        <v>700000000</v>
      </c>
      <c r="G52" s="100">
        <v>700000000</v>
      </c>
      <c r="H52" s="100">
        <v>700000000</v>
      </c>
      <c r="I52" s="100">
        <v>700000000</v>
      </c>
      <c r="J52" s="100">
        <v>700000000</v>
      </c>
      <c r="K52" s="100">
        <v>700000000</v>
      </c>
      <c r="L52" s="100">
        <v>700000000</v>
      </c>
      <c r="M52" s="100">
        <v>700000000</v>
      </c>
    </row>
    <row r="53" spans="2:14" s="95" customFormat="1" ht="13" x14ac:dyDescent="0.15">
      <c r="B53" s="112" t="s">
        <v>134</v>
      </c>
      <c r="C53" s="108"/>
      <c r="D53" s="108">
        <f>D50+D51+D52</f>
        <v>32500000</v>
      </c>
      <c r="E53" s="108">
        <f t="shared" ref="E53:M53" si="23">E50+E51+E52</f>
        <v>147368969.99999928</v>
      </c>
      <c r="F53" s="108">
        <f t="shared" si="23"/>
        <v>283050105.08417845</v>
      </c>
      <c r="G53" s="108">
        <f t="shared" si="23"/>
        <v>1800920240.2169609</v>
      </c>
      <c r="H53" s="108">
        <f t="shared" si="23"/>
        <v>2032494251.184972</v>
      </c>
      <c r="I53" s="108">
        <f t="shared" si="23"/>
        <v>2291590488.6804852</v>
      </c>
      <c r="J53" s="108">
        <f t="shared" si="23"/>
        <v>5294794719.0787849</v>
      </c>
      <c r="K53" s="108">
        <f t="shared" si="23"/>
        <v>5907429311.2023354</v>
      </c>
      <c r="L53" s="108">
        <f t="shared" si="23"/>
        <v>6593097636.4439659</v>
      </c>
      <c r="M53" s="108">
        <f t="shared" si="23"/>
        <v>7355095583.6473179</v>
      </c>
    </row>
    <row r="54" spans="2:14" x14ac:dyDescent="0.15">
      <c r="B54" s="112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</row>
    <row r="55" spans="2:14" x14ac:dyDescent="0.15">
      <c r="B55" s="112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</row>
    <row r="56" spans="2:14" ht="13" x14ac:dyDescent="0.15">
      <c r="B56" s="119" t="s">
        <v>312</v>
      </c>
      <c r="C56" s="121" t="s">
        <v>104</v>
      </c>
      <c r="D56" s="121" t="s">
        <v>57</v>
      </c>
      <c r="E56" s="121" t="s">
        <v>58</v>
      </c>
      <c r="F56" s="121" t="s">
        <v>59</v>
      </c>
      <c r="G56" s="121" t="s">
        <v>60</v>
      </c>
      <c r="H56" s="121" t="s">
        <v>61</v>
      </c>
      <c r="I56" s="121" t="s">
        <v>62</v>
      </c>
      <c r="J56" s="121" t="s">
        <v>63</v>
      </c>
      <c r="K56" s="121" t="s">
        <v>64</v>
      </c>
      <c r="L56" s="121" t="s">
        <v>65</v>
      </c>
      <c r="M56" s="121" t="s">
        <v>66</v>
      </c>
      <c r="N56" s="121" t="s">
        <v>287</v>
      </c>
    </row>
    <row r="57" spans="2:14" ht="13" x14ac:dyDescent="0.15">
      <c r="B57" s="110" t="s">
        <v>286</v>
      </c>
      <c r="C57" s="95"/>
      <c r="D57" s="124">
        <f>D31</f>
        <v>32500000</v>
      </c>
      <c r="E57" s="124">
        <f t="shared" ref="E57:M57" si="24">E31</f>
        <v>147368969.99999928</v>
      </c>
      <c r="F57" s="124">
        <f t="shared" si="24"/>
        <v>283050105.08417845</v>
      </c>
      <c r="G57" s="124">
        <f t="shared" si="24"/>
        <v>1963061908.0260935</v>
      </c>
      <c r="H57" s="124">
        <f t="shared" si="24"/>
        <v>2319329617.2076492</v>
      </c>
      <c r="I57" s="124">
        <f t="shared" si="24"/>
        <v>2717939213.3545928</v>
      </c>
      <c r="J57" s="124">
        <f t="shared" si="24"/>
        <v>7338253413.9673605</v>
      </c>
      <c r="K57" s="124">
        <f t="shared" si="24"/>
        <v>8280768171.0805149</v>
      </c>
      <c r="L57" s="124">
        <f t="shared" si="24"/>
        <v>9335642517.606102</v>
      </c>
      <c r="M57" s="124">
        <f t="shared" si="24"/>
        <v>10507947051.765104</v>
      </c>
      <c r="N57" s="95"/>
    </row>
    <row r="58" spans="2:14" ht="13" x14ac:dyDescent="0.15">
      <c r="B58" s="110" t="s">
        <v>313</v>
      </c>
      <c r="C58" s="95"/>
      <c r="D58" s="124">
        <f>D49</f>
        <v>0</v>
      </c>
      <c r="E58" s="124">
        <f t="shared" ref="E58:M58" si="25">E49</f>
        <v>0</v>
      </c>
      <c r="F58" s="124">
        <f t="shared" si="25"/>
        <v>0</v>
      </c>
      <c r="G58" s="124">
        <f t="shared" si="25"/>
        <v>162141667.80913275</v>
      </c>
      <c r="H58" s="124">
        <f t="shared" si="25"/>
        <v>286835366.02267718</v>
      </c>
      <c r="I58" s="124">
        <f t="shared" si="25"/>
        <v>426348724.67410743</v>
      </c>
      <c r="J58" s="124">
        <f t="shared" si="25"/>
        <v>2043458694.888576</v>
      </c>
      <c r="K58" s="124">
        <f t="shared" si="25"/>
        <v>2373338859.87818</v>
      </c>
      <c r="L58" s="124">
        <f t="shared" si="25"/>
        <v>2742544881.1621356</v>
      </c>
      <c r="M58" s="124">
        <f t="shared" si="25"/>
        <v>3152851468.1177864</v>
      </c>
      <c r="N58" s="95"/>
    </row>
    <row r="59" spans="2:14" s="95" customFormat="1" ht="13" x14ac:dyDescent="0.15">
      <c r="B59" s="112" t="s">
        <v>134</v>
      </c>
      <c r="D59" s="125">
        <f>D57-D58</f>
        <v>32500000</v>
      </c>
      <c r="E59" s="125">
        <f t="shared" ref="E59:M59" si="26">E57-E58</f>
        <v>147368969.99999928</v>
      </c>
      <c r="F59" s="125">
        <f t="shared" si="26"/>
        <v>283050105.08417845</v>
      </c>
      <c r="G59" s="125">
        <f t="shared" si="26"/>
        <v>1800920240.2169607</v>
      </c>
      <c r="H59" s="125">
        <f t="shared" si="26"/>
        <v>2032494251.184972</v>
      </c>
      <c r="I59" s="125">
        <f t="shared" si="26"/>
        <v>2291590488.6804852</v>
      </c>
      <c r="J59" s="125">
        <f t="shared" si="26"/>
        <v>5294794719.0787849</v>
      </c>
      <c r="K59" s="125">
        <f t="shared" si="26"/>
        <v>5907429311.2023354</v>
      </c>
      <c r="L59" s="125">
        <f t="shared" si="26"/>
        <v>6593097636.4439659</v>
      </c>
      <c r="M59" s="125">
        <f t="shared" si="26"/>
        <v>7355095583.6473179</v>
      </c>
    </row>
    <row r="60" spans="2:14" ht="13" x14ac:dyDescent="0.15">
      <c r="B60" s="110" t="s">
        <v>135</v>
      </c>
      <c r="C60" s="100"/>
      <c r="D60" s="100">
        <f>-D38</f>
        <v>-1604166666.6666667</v>
      </c>
      <c r="E60" s="100">
        <f t="shared" ref="E60:M60" si="27">-E38</f>
        <v>-154872083.33333302</v>
      </c>
      <c r="F60" s="100">
        <f t="shared" si="27"/>
        <v>-188018096.26950002</v>
      </c>
      <c r="G60" s="100">
        <f t="shared" si="27"/>
        <v>-1193721109.4489632</v>
      </c>
      <c r="H60" s="100">
        <f t="shared" si="27"/>
        <v>-193949192.89962244</v>
      </c>
      <c r="I60" s="100">
        <f t="shared" si="27"/>
        <v>-205433435.71905231</v>
      </c>
      <c r="J60" s="100">
        <f t="shared" si="27"/>
        <v>-1607696164.7767119</v>
      </c>
      <c r="K60" s="100">
        <f t="shared" si="27"/>
        <v>-347032966.15894604</v>
      </c>
      <c r="L60" s="100">
        <f t="shared" si="27"/>
        <v>-378954434.48023891</v>
      </c>
      <c r="M60" s="100">
        <f t="shared" si="27"/>
        <v>-405550946.91430855</v>
      </c>
    </row>
    <row r="61" spans="2:14" s="95" customFormat="1" ht="13" x14ac:dyDescent="0.15">
      <c r="B61" s="112" t="s">
        <v>314</v>
      </c>
      <c r="C61" s="108"/>
      <c r="D61" s="108">
        <f>D59+D60</f>
        <v>-1571666666.6666667</v>
      </c>
      <c r="E61" s="108">
        <f>E53+E60</f>
        <v>-7503113.3333337307</v>
      </c>
      <c r="F61" s="108">
        <f>F53+F60</f>
        <v>95032008.814678431</v>
      </c>
      <c r="G61" s="108">
        <f>G53+G60</f>
        <v>607199130.76799774</v>
      </c>
      <c r="H61" s="108">
        <f t="shared" ref="H61:M61" si="28">H53+H60</f>
        <v>1838545058.2853496</v>
      </c>
      <c r="I61" s="108">
        <f t="shared" si="28"/>
        <v>2086157052.9614329</v>
      </c>
      <c r="J61" s="108">
        <f t="shared" si="28"/>
        <v>3687098554.302073</v>
      </c>
      <c r="K61" s="108">
        <f t="shared" si="28"/>
        <v>5560396345.0433893</v>
      </c>
      <c r="L61" s="108">
        <f t="shared" si="28"/>
        <v>6214143201.963727</v>
      </c>
      <c r="M61" s="108">
        <f t="shared" si="28"/>
        <v>6949544636.7330093</v>
      </c>
    </row>
    <row r="62" spans="2:14" ht="13" x14ac:dyDescent="0.15">
      <c r="B62" s="110" t="s">
        <v>136</v>
      </c>
      <c r="C62" s="100">
        <f>-Datos!C10*1000000</f>
        <v>-14000000000</v>
      </c>
      <c r="D62" s="100">
        <v>0</v>
      </c>
      <c r="E62" s="100">
        <v>0</v>
      </c>
      <c r="F62" s="100">
        <v>0</v>
      </c>
      <c r="G62" s="100">
        <v>0</v>
      </c>
      <c r="H62" s="100">
        <f>-Datos!$C$10*Datos!$C$24*1000000</f>
        <v>-9800000000</v>
      </c>
      <c r="I62" s="100">
        <v>0</v>
      </c>
      <c r="J62" s="100">
        <v>0</v>
      </c>
      <c r="K62" s="100">
        <v>0</v>
      </c>
      <c r="L62" s="100">
        <v>0</v>
      </c>
      <c r="M62" s="100">
        <v>0</v>
      </c>
    </row>
    <row r="63" spans="2:14" s="95" customFormat="1" ht="13" x14ac:dyDescent="0.15">
      <c r="B63" s="112" t="s">
        <v>137</v>
      </c>
      <c r="C63" s="108">
        <f>C61+C62</f>
        <v>-14000000000</v>
      </c>
      <c r="D63" s="108">
        <f>D61+D62</f>
        <v>-1571666666.6666667</v>
      </c>
      <c r="E63" s="108">
        <f t="shared" ref="E63:L63" si="29">E61+E62</f>
        <v>-7503113.3333337307</v>
      </c>
      <c r="F63" s="108">
        <f>F61+F62</f>
        <v>95032008.814678431</v>
      </c>
      <c r="G63" s="108">
        <f>G61+G62</f>
        <v>607199130.76799774</v>
      </c>
      <c r="H63" s="108">
        <f>H61+H62</f>
        <v>-7961454941.7146502</v>
      </c>
      <c r="I63" s="108">
        <f t="shared" si="29"/>
        <v>2086157052.9614329</v>
      </c>
      <c r="J63" s="108">
        <f t="shared" si="29"/>
        <v>3687098554.302073</v>
      </c>
      <c r="K63" s="108">
        <f t="shared" si="29"/>
        <v>5560396345.0433893</v>
      </c>
      <c r="L63" s="108">
        <f t="shared" si="29"/>
        <v>6214143201.963727</v>
      </c>
      <c r="M63" s="108">
        <f>M61+M62</f>
        <v>6949544636.7330093</v>
      </c>
      <c r="N63" s="109">
        <f>P48</f>
        <v>2730000000</v>
      </c>
    </row>
    <row r="64" spans="2:14" x14ac:dyDescent="0.15">
      <c r="B64" s="112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5"/>
    </row>
    <row r="66" spans="2:14" ht="13" x14ac:dyDescent="0.15">
      <c r="B66" s="127" t="s">
        <v>315</v>
      </c>
      <c r="C66" s="128">
        <f>NPV(WACC!B18,'Estado de resultados'!D63:N63)+'Estado de resultados'!C63</f>
        <v>-12640745057.294985</v>
      </c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5"/>
    </row>
    <row r="67" spans="2:14" ht="13" x14ac:dyDescent="0.15">
      <c r="B67" s="129" t="s">
        <v>316</v>
      </c>
      <c r="C67" s="130">
        <f>MIRR(C63:N63,WACC!B18,WACC!B18)</f>
        <v>8.6500419894627978E-2</v>
      </c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5"/>
    </row>
    <row r="68" spans="2:14" s="95" customFormat="1" ht="13" x14ac:dyDescent="0.15">
      <c r="B68" s="129" t="s">
        <v>317</v>
      </c>
      <c r="C68" s="131">
        <v>0</v>
      </c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9"/>
    </row>
    <row r="69" spans="2:14" ht="13" x14ac:dyDescent="0.15">
      <c r="B69" s="132" t="s">
        <v>318</v>
      </c>
      <c r="C69" s="133"/>
      <c r="D69" s="126">
        <f>1/(1+WACC!$B$18)^'Estado de resultados'!D2</f>
        <v>0.82824185518770355</v>
      </c>
      <c r="E69" s="126">
        <f>1/(1+WACC!$B$18)^'Estado de resultados'!E2</f>
        <v>0.68598457068476881</v>
      </c>
      <c r="F69" s="126">
        <f>1/(1+WACC!$B$18)^'Estado de resultados'!F2</f>
        <v>0.56816113345409336</v>
      </c>
      <c r="G69" s="126">
        <f>1/(1+WACC!$B$18)^'Estado de resultados'!G2</f>
        <v>0.4705748312175666</v>
      </c>
      <c r="H69" s="126">
        <f>1/(1+WACC!$B$18)^'Estado de resultados'!H2</f>
        <v>0.38974977121227783</v>
      </c>
      <c r="I69" s="126">
        <f>1/(1+WACC!$B$18)^'Estado de resultados'!I2</f>
        <v>0.32280707356783994</v>
      </c>
      <c r="J69" s="126">
        <f>1/(1+WACC!$B$18)^'Estado de resultados'!J2</f>
        <v>0.26736232947954131</v>
      </c>
      <c r="K69" s="126">
        <f>1/(1+WACC!$B$18)^'Estado de resultados'!K2</f>
        <v>0.2214406717754413</v>
      </c>
      <c r="L69" s="126">
        <f>1/(1+WACC!$B$18)^'Estado de resultados'!L2</f>
        <v>0.18340643280530283</v>
      </c>
      <c r="M69" s="126">
        <f>1/(1+WACC!$B$18)^'Estado de resultados'!M2</f>
        <v>0.1519048841600229</v>
      </c>
      <c r="N69" s="126">
        <f>1/(1+WACC!$B$18)^11</f>
        <v>0.12581398306877056</v>
      </c>
    </row>
    <row r="70" spans="2:14" s="95" customFormat="1" ht="13" x14ac:dyDescent="0.15">
      <c r="B70" s="132" t="s">
        <v>139</v>
      </c>
      <c r="C70" s="133"/>
      <c r="D70" s="100">
        <f>D63*D69</f>
        <v>-1301720115.7366741</v>
      </c>
      <c r="E70" s="100">
        <f t="shared" ref="E70:N70" si="30">E63*E69</f>
        <v>-5147019.9787661042</v>
      </c>
      <c r="F70" s="100">
        <f t="shared" si="30"/>
        <v>53993493.842567086</v>
      </c>
      <c r="G70" s="100">
        <f t="shared" si="30"/>
        <v>285732628.47660369</v>
      </c>
      <c r="H70" s="100">
        <f t="shared" si="30"/>
        <v>-3102975242.0501437</v>
      </c>
      <c r="I70" s="100">
        <f t="shared" si="30"/>
        <v>673426253.26938939</v>
      </c>
      <c r="J70" s="100">
        <f t="shared" si="30"/>
        <v>985791258.4988513</v>
      </c>
      <c r="K70" s="100">
        <f t="shared" si="30"/>
        <v>1231297901.9841166</v>
      </c>
      <c r="L70" s="100">
        <f t="shared" si="30"/>
        <v>1139713837.6134896</v>
      </c>
      <c r="M70" s="100">
        <f t="shared" si="30"/>
        <v>1055669773.0078362</v>
      </c>
      <c r="N70" s="100">
        <f t="shared" si="30"/>
        <v>343472173.77774364</v>
      </c>
    </row>
    <row r="71" spans="2:14" s="95" customFormat="1" ht="13" x14ac:dyDescent="0.15">
      <c r="B71" s="134" t="s">
        <v>140</v>
      </c>
      <c r="C71" s="135">
        <f>ABS(SUM(D70:N70)/C63)</f>
        <v>9.7089638764643826E-2</v>
      </c>
      <c r="D71" s="108"/>
      <c r="E71" s="108"/>
      <c r="F71" s="108"/>
      <c r="G71" s="108"/>
      <c r="H71" s="108"/>
      <c r="I71" s="108"/>
      <c r="J71" s="108"/>
      <c r="K71" s="108"/>
      <c r="L71" s="108"/>
      <c r="M71" s="108"/>
    </row>
    <row r="74" spans="2:14" ht="13" x14ac:dyDescent="0.15">
      <c r="B74" s="110" t="s">
        <v>141</v>
      </c>
      <c r="D74" s="104">
        <f t="shared" ref="D74:M74" si="31">D50/D44</f>
        <v>-9.9112649195845379E-2</v>
      </c>
      <c r="E74" s="104">
        <f t="shared" si="31"/>
        <v>-9.5514451799863939E-2</v>
      </c>
      <c r="F74" s="104">
        <f t="shared" si="31"/>
        <v>-8.9812571186497631E-2</v>
      </c>
      <c r="G74" s="104">
        <f t="shared" si="31"/>
        <v>2.1598720114278696E-2</v>
      </c>
      <c r="H74" s="104">
        <f t="shared" si="31"/>
        <v>3.9944897285947578E-2</v>
      </c>
      <c r="I74" s="104">
        <f t="shared" si="31"/>
        <v>6.214332319060397E-2</v>
      </c>
      <c r="J74" s="104">
        <f t="shared" si="31"/>
        <v>0.28008877456152603</v>
      </c>
      <c r="K74" s="104">
        <f t="shared" si="31"/>
        <v>0.33655043504232046</v>
      </c>
      <c r="L74" s="104">
        <f t="shared" si="31"/>
        <v>0.40181765725438112</v>
      </c>
      <c r="M74" s="104">
        <f t="shared" si="31"/>
        <v>0.47676143773244462</v>
      </c>
    </row>
    <row r="75" spans="2:14" ht="13" x14ac:dyDescent="0.15">
      <c r="B75" s="110" t="s">
        <v>142</v>
      </c>
      <c r="D75" s="104">
        <f t="shared" ref="D75:M75" si="32">D19/D15</f>
        <v>0.59115384615384614</v>
      </c>
      <c r="E75" s="104">
        <f t="shared" si="32"/>
        <v>0.59717391304347822</v>
      </c>
      <c r="F75" s="104">
        <f t="shared" si="32"/>
        <v>0.6030765730104104</v>
      </c>
      <c r="G75" s="104">
        <f t="shared" si="32"/>
        <v>0.62274058911896824</v>
      </c>
      <c r="H75" s="104">
        <f t="shared" si="32"/>
        <v>0.62794728750374307</v>
      </c>
      <c r="I75" s="104">
        <f t="shared" si="32"/>
        <v>0.63306039168496631</v>
      </c>
      <c r="J75" s="104">
        <f t="shared" si="32"/>
        <v>0.64809418697695165</v>
      </c>
      <c r="K75" s="104">
        <f t="shared" si="32"/>
        <v>0.65268738182140873</v>
      </c>
      <c r="L75" s="104">
        <f t="shared" si="32"/>
        <v>0.65720419469068458</v>
      </c>
      <c r="M75" s="104">
        <f t="shared" si="32"/>
        <v>0.66164606444208962</v>
      </c>
    </row>
    <row r="76" spans="2:14" ht="13" x14ac:dyDescent="0.15">
      <c r="B76" s="110" t="s">
        <v>143</v>
      </c>
      <c r="D76" s="104">
        <f t="shared" ref="D76:M76" si="33">D25/D15</f>
        <v>-0.22573846153846153</v>
      </c>
      <c r="E76" s="104">
        <f t="shared" si="33"/>
        <v>-0.18993788117666668</v>
      </c>
      <c r="F76" s="104">
        <f t="shared" si="33"/>
        <v>-0.15453382369046034</v>
      </c>
      <c r="G76" s="104">
        <f t="shared" si="33"/>
        <v>3.555834178603294E-2</v>
      </c>
      <c r="H76" s="104">
        <f t="shared" si="33"/>
        <v>5.7137344548982463E-2</v>
      </c>
      <c r="I76" s="104">
        <f t="shared" si="33"/>
        <v>7.7284019937884973E-2</v>
      </c>
      <c r="J76" s="104">
        <f t="shared" si="33"/>
        <v>0.20286664059166626</v>
      </c>
      <c r="K76" s="104">
        <f t="shared" si="33"/>
        <v>0.21513790641328051</v>
      </c>
      <c r="L76" s="104">
        <f t="shared" si="33"/>
        <v>0.22685933194273727</v>
      </c>
      <c r="M76" s="104">
        <f t="shared" si="33"/>
        <v>0.23803135969589176</v>
      </c>
    </row>
    <row r="77" spans="2:14" ht="13" x14ac:dyDescent="0.15">
      <c r="B77" s="110" t="s">
        <v>144</v>
      </c>
      <c r="D77" s="104">
        <f t="shared" ref="D77:M77" si="34">D31/D15</f>
        <v>5.0000000000000001E-3</v>
      </c>
      <c r="E77" s="104">
        <f t="shared" si="34"/>
        <v>2.0696767001114731E-2</v>
      </c>
      <c r="F77" s="104">
        <f t="shared" si="34"/>
        <v>3.5948895674793403E-2</v>
      </c>
      <c r="G77" s="104">
        <f t="shared" si="34"/>
        <v>0.15067767296076082</v>
      </c>
      <c r="H77" s="104">
        <f t="shared" si="34"/>
        <v>0.16170292406586151</v>
      </c>
      <c r="I77" s="104">
        <f t="shared" si="34"/>
        <v>0.17243781831503241</v>
      </c>
      <c r="J77" s="104">
        <f t="shared" si="34"/>
        <v>0.2549796516900335</v>
      </c>
      <c r="K77" s="104">
        <f t="shared" si="34"/>
        <v>0.26272164724467612</v>
      </c>
      <c r="L77" s="104">
        <f t="shared" si="34"/>
        <v>0.27028077964070146</v>
      </c>
      <c r="M77" s="104">
        <f t="shared" si="34"/>
        <v>0.27766208854838603</v>
      </c>
    </row>
    <row r="78" spans="2:14" ht="13" x14ac:dyDescent="0.15">
      <c r="B78" s="110" t="s">
        <v>322</v>
      </c>
      <c r="D78" s="104">
        <f>D37/D15</f>
        <v>0.24679487179487181</v>
      </c>
      <c r="E78" s="104">
        <f t="shared" ref="E78:M78" si="35">E37/E15</f>
        <v>0.24704261117304596</v>
      </c>
      <c r="F78" s="104">
        <f t="shared" si="35"/>
        <v>0.24728676012544951</v>
      </c>
      <c r="G78" s="104">
        <f t="shared" si="35"/>
        <v>0.24107498175132591</v>
      </c>
      <c r="H78" s="104">
        <f t="shared" si="35"/>
        <v>0.232496117366262</v>
      </c>
      <c r="I78" s="104">
        <f t="shared" si="35"/>
        <v>0.22460309805623443</v>
      </c>
      <c r="J78" s="104">
        <f t="shared" si="35"/>
        <v>0.17887072669647597</v>
      </c>
      <c r="K78" s="104">
        <f t="shared" si="35"/>
        <v>0.17433485005243504</v>
      </c>
      <c r="L78" s="104">
        <f t="shared" si="35"/>
        <v>0.17005655189658242</v>
      </c>
      <c r="M78" s="104">
        <f t="shared" si="35"/>
        <v>0.16592679319489631</v>
      </c>
    </row>
    <row r="80" spans="2:14" ht="13" x14ac:dyDescent="0.15">
      <c r="B80" s="110" t="s">
        <v>145</v>
      </c>
      <c r="D80" s="106">
        <f>D77/D78</f>
        <v>2.0259740259740259E-2</v>
      </c>
      <c r="E80" s="106">
        <f t="shared" ref="E80:M80" si="36">E77/E78</f>
        <v>8.3778125979316442E-2</v>
      </c>
      <c r="F80" s="106">
        <f t="shared" si="36"/>
        <v>0.14537331338142159</v>
      </c>
      <c r="G80" s="106">
        <f t="shared" si="36"/>
        <v>0.62502409775639067</v>
      </c>
      <c r="H80" s="106">
        <f t="shared" si="36"/>
        <v>0.69550806223195261</v>
      </c>
      <c r="I80" s="106">
        <f t="shared" si="36"/>
        <v>0.76774461175000674</v>
      </c>
      <c r="J80" s="106">
        <f t="shared" si="36"/>
        <v>1.4254968177252729</v>
      </c>
      <c r="K80" s="106">
        <f t="shared" si="36"/>
        <v>1.5069944257597192</v>
      </c>
      <c r="L80" s="106">
        <f t="shared" si="36"/>
        <v>1.5893582259921926</v>
      </c>
      <c r="M80" s="106">
        <f t="shared" si="36"/>
        <v>1.673401162054921</v>
      </c>
    </row>
    <row r="81" spans="2:13" ht="13" x14ac:dyDescent="0.15">
      <c r="B81" s="110" t="s">
        <v>146</v>
      </c>
      <c r="D81" s="107">
        <f>(D74-WACC!$B$18)*'Estado de resultados'!D44</f>
        <v>-4537382172.0865593</v>
      </c>
      <c r="E81" s="107">
        <f>(E74-WACC!$B$18)*'Estado de resultados'!E44</f>
        <v>-4288770115.0757961</v>
      </c>
      <c r="F81" s="107">
        <f>(F74-WACC!$B$18)*'Estado de resultados'!F44</f>
        <v>-4026219607.0465951</v>
      </c>
      <c r="G81" s="107">
        <f>(G74-WACC!$B$18)*'Estado de resultados'!G44</f>
        <v>-2590039570.6906028</v>
      </c>
      <c r="H81" s="107">
        <f>(H74-WACC!$B$18)*'Estado de resultados'!H44</f>
        <v>-2232826158.6118975</v>
      </c>
      <c r="I81" s="107">
        <f>(I74-WACC!$B$18)*'Estado de resultados'!I44</f>
        <v>-1850472085.5217094</v>
      </c>
      <c r="J81" s="107">
        <f>(J74-WACC!$B$18)*'Estado de resultados'!J44</f>
        <v>985193224.21727324</v>
      </c>
      <c r="K81" s="107">
        <f>(K74-WACC!$B$18)*'Estado de resultados'!K44</f>
        <v>1691721194.5583274</v>
      </c>
      <c r="L81" s="107">
        <f>(L74-WACC!$B$18)*'Estado de resultados'!L44</f>
        <v>2464663126.0943112</v>
      </c>
      <c r="M81" s="107">
        <f>(M74-WACC!$B$18)*'Estado de resultados'!M44</f>
        <v>3308419179.9761243</v>
      </c>
    </row>
    <row r="83" spans="2:13" ht="26" x14ac:dyDescent="0.15">
      <c r="B83" s="110" t="s">
        <v>323</v>
      </c>
      <c r="D83" s="106">
        <f>D25/D26</f>
        <v>-5.0152803733275793</v>
      </c>
      <c r="E83" s="106">
        <f t="shared" ref="E83:M83" si="37">E25/E26</f>
        <v>-4.8027578181239017</v>
      </c>
      <c r="F83" s="106">
        <f t="shared" si="37"/>
        <v>-4.8219034801926153</v>
      </c>
      <c r="G83" s="106">
        <f t="shared" si="37"/>
        <v>2.0766487392666613</v>
      </c>
      <c r="H83" s="106">
        <f t="shared" si="37"/>
        <v>4.2281955994565168</v>
      </c>
      <c r="I83" s="106">
        <f t="shared" si="37"/>
        <v>7.4020275350407614</v>
      </c>
      <c r="J83" s="106">
        <f t="shared" si="37"/>
        <v>43.148170023864985</v>
      </c>
      <c r="K83" s="106">
        <f t="shared" si="37"/>
        <v>63.938139403274825</v>
      </c>
      <c r="L83" s="106">
        <f t="shared" si="37"/>
        <v>102.03112860235197</v>
      </c>
      <c r="M83" s="106">
        <f t="shared" si="37"/>
        <v>246.32117826629172</v>
      </c>
    </row>
    <row r="84" spans="2:13" ht="13" x14ac:dyDescent="0.15">
      <c r="B84" s="110" t="s">
        <v>325</v>
      </c>
      <c r="D84" s="102" cm="1">
        <f t="array" ref="D84:M84">TRANSPOSE(Bancos!L20:L29)*1000000</f>
        <v>292565896.77487236</v>
      </c>
      <c r="E84" s="102">
        <v>421594675.64581466</v>
      </c>
      <c r="F84" s="102">
        <v>392338085.96832746</v>
      </c>
      <c r="G84" s="102">
        <v>363081496.29084021</v>
      </c>
      <c r="H84" s="102">
        <v>333824906.61335301</v>
      </c>
      <c r="I84" s="102">
        <v>304568316.9358657</v>
      </c>
      <c r="J84" s="102">
        <v>275311727.25837851</v>
      </c>
      <c r="K84" s="102">
        <v>246055137.58089125</v>
      </c>
      <c r="L84" s="102">
        <v>216798547.903404</v>
      </c>
      <c r="M84" s="102">
        <v>316570737.09685904</v>
      </c>
    </row>
    <row r="85" spans="2:13" ht="26" x14ac:dyDescent="0.15">
      <c r="B85" s="110" t="s">
        <v>326</v>
      </c>
      <c r="D85" s="106">
        <f t="shared" ref="D85:M85" si="38">D61/D84</f>
        <v>-5.3720091233875236</v>
      </c>
      <c r="E85" s="106">
        <f t="shared" si="38"/>
        <v>-1.7796983137512774E-2</v>
      </c>
      <c r="F85" s="106">
        <f t="shared" si="38"/>
        <v>0.24221968810427991</v>
      </c>
      <c r="G85" s="106">
        <f t="shared" si="38"/>
        <v>1.6723494228458595</v>
      </c>
      <c r="H85" s="106">
        <f t="shared" si="38"/>
        <v>5.5075131359650555</v>
      </c>
      <c r="I85" s="106">
        <f t="shared" si="38"/>
        <v>6.8495537354291658</v>
      </c>
      <c r="J85" s="106">
        <f t="shared" si="38"/>
        <v>13.392450045695844</v>
      </c>
      <c r="K85" s="106">
        <f t="shared" si="38"/>
        <v>22.598172099598589</v>
      </c>
      <c r="L85" s="106">
        <f t="shared" si="38"/>
        <v>28.66321413154704</v>
      </c>
      <c r="M85" s="106">
        <f t="shared" si="38"/>
        <v>21.952580647423211</v>
      </c>
    </row>
    <row r="86" spans="2:13" ht="13" x14ac:dyDescent="0.15">
      <c r="B86" s="110" t="s">
        <v>328</v>
      </c>
      <c r="D86" s="102" cm="1">
        <f t="array" ref="D86:M86">TRANSPOSE(Bancos!M20:M29)*1000000</f>
        <v>1400000000</v>
      </c>
      <c r="E86" s="102">
        <v>1260000000</v>
      </c>
      <c r="F86" s="102">
        <v>1120000000</v>
      </c>
      <c r="G86" s="102">
        <v>980000000</v>
      </c>
      <c r="H86" s="102">
        <v>840000000</v>
      </c>
      <c r="I86" s="102">
        <v>700000000</v>
      </c>
      <c r="J86" s="102">
        <v>560000000</v>
      </c>
      <c r="K86" s="102">
        <v>420000000</v>
      </c>
      <c r="L86" s="102">
        <v>280000000</v>
      </c>
      <c r="M86" s="102">
        <v>0</v>
      </c>
    </row>
    <row r="87" spans="2:13" ht="13" x14ac:dyDescent="0.15">
      <c r="B87" s="110" t="s">
        <v>324</v>
      </c>
      <c r="D87" s="106">
        <f t="shared" ref="D87:M87" si="39">D86/D31</f>
        <v>43.07692307692308</v>
      </c>
      <c r="E87" s="106">
        <f t="shared" si="39"/>
        <v>8.5499681513686774</v>
      </c>
      <c r="F87" s="106">
        <f t="shared" si="39"/>
        <v>3.9568966055211834</v>
      </c>
      <c r="G87" s="106">
        <f t="shared" si="39"/>
        <v>0.49922011934173477</v>
      </c>
      <c r="H87" s="106">
        <f t="shared" si="39"/>
        <v>0.36217361851797319</v>
      </c>
      <c r="I87" s="106">
        <f t="shared" si="39"/>
        <v>0.25754807045004924</v>
      </c>
      <c r="J87" s="106">
        <f t="shared" si="39"/>
        <v>7.6312436816929313E-2</v>
      </c>
      <c r="K87" s="106">
        <f t="shared" si="39"/>
        <v>5.071993217571219E-2</v>
      </c>
      <c r="L87" s="106">
        <f t="shared" si="39"/>
        <v>2.9992579457916002E-2</v>
      </c>
      <c r="M87" s="106">
        <f t="shared" si="39"/>
        <v>0</v>
      </c>
    </row>
    <row r="88" spans="2:13" ht="13" x14ac:dyDescent="0.15">
      <c r="B88" s="110" t="s">
        <v>327</v>
      </c>
    </row>
  </sheetData>
  <pageMargins left="0.7" right="0.7" top="0.75" bottom="0.75" header="0.3" footer="0.3"/>
  <ignoredErrors>
    <ignoredError sqref="D28 E28:M28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Datos</vt:lpstr>
      <vt:lpstr>Nómina</vt:lpstr>
      <vt:lpstr>Costo de oportunidad</vt:lpstr>
      <vt:lpstr>Costos hundidos</vt:lpstr>
      <vt:lpstr>Tasas de banco</vt:lpstr>
      <vt:lpstr>Inflación</vt:lpstr>
      <vt:lpstr>Bancos</vt:lpstr>
      <vt:lpstr>WACC</vt:lpstr>
      <vt:lpstr>Depreciaciones</vt:lpstr>
      <vt:lpstr>Amortización</vt:lpstr>
      <vt:lpstr>Estado de resultados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Armendáriz</dc:creator>
  <cp:keywords/>
  <dc:description/>
  <cp:lastModifiedBy>David Armendáriz</cp:lastModifiedBy>
  <cp:revision/>
  <dcterms:created xsi:type="dcterms:W3CDTF">2026-06-13T19:27:41Z</dcterms:created>
  <dcterms:modified xsi:type="dcterms:W3CDTF">2026-06-18T02:23:29Z</dcterms:modified>
  <cp:category/>
  <cp:contentStatus/>
</cp:coreProperties>
</file>